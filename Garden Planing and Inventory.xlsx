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My Drive\Home Docs\Garden\"/>
    </mc:Choice>
  </mc:AlternateContent>
  <xr:revisionPtr revIDLastSave="0" documentId="13_ncr:1_{491BE77C-1CD0-4F74-9ABF-BDAFC0E04F4B}" xr6:coauthVersionLast="47" xr6:coauthVersionMax="47" xr10:uidLastSave="{00000000-0000-0000-0000-000000000000}"/>
  <bookViews>
    <workbookView xWindow="11424" yWindow="0" windowWidth="11712" windowHeight="12336" activeTab="1" xr2:uid="{00000000-000D-0000-FFFF-FFFF00000000}"/>
  </bookViews>
  <sheets>
    <sheet name="Planter Layout" sheetId="3" r:id="rId1"/>
    <sheet name="Seed Inventory" sheetId="6" r:id="rId2"/>
    <sheet name="Calendar" sheetId="2" r:id="rId3"/>
    <sheet name="Garden Layout" sheetId="4" r:id="rId4"/>
    <sheet name="Planting Schedule" sheetId="1" r:id="rId5"/>
    <sheet name="Food Prep Schedule" sheetId="5" r:id="rId6"/>
    <sheet name="Fermentation" sheetId="7" r:id="rId7"/>
    <sheet name="Planting and Harvesting" sheetId="8" r:id="rId8"/>
    <sheet name="Pest Control"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7" l="1"/>
  <c r="D27" i="7" s="1"/>
  <c r="D28" i="7" s="1"/>
  <c r="D29" i="7" s="1"/>
  <c r="D30" i="7" s="1"/>
  <c r="D31" i="7" s="1"/>
  <c r="D32" i="7" s="1"/>
  <c r="D33" i="7" s="1"/>
  <c r="D34" i="7" s="1"/>
  <c r="D35" i="7" s="1"/>
  <c r="D36" i="7" s="1"/>
  <c r="D37" i="7" s="1"/>
  <c r="D38" i="7" s="1"/>
  <c r="D39" i="7" s="1"/>
  <c r="D25" i="7"/>
  <c r="C25" i="7"/>
  <c r="C26" i="7" s="1"/>
  <c r="C27" i="7" s="1"/>
  <c r="C28" i="7" s="1"/>
  <c r="C29" i="7" s="1"/>
  <c r="C30" i="7" s="1"/>
  <c r="C31" i="7" s="1"/>
  <c r="C32" i="7" s="1"/>
  <c r="C33" i="7" s="1"/>
  <c r="C34" i="7" s="1"/>
  <c r="C35" i="7" s="1"/>
  <c r="C36" i="7" s="1"/>
  <c r="C37" i="7" s="1"/>
  <c r="C38" i="7" s="1"/>
  <c r="C39" i="7" s="1"/>
  <c r="B25" i="7"/>
  <c r="B26" i="7" s="1"/>
  <c r="B27" i="7" s="1"/>
  <c r="B28" i="7" s="1"/>
  <c r="B29" i="7" s="1"/>
  <c r="B30" i="7" s="1"/>
  <c r="B31" i="7" s="1"/>
  <c r="B32" i="7" s="1"/>
  <c r="B33" i="7" s="1"/>
  <c r="B34" i="7" s="1"/>
  <c r="B35" i="7" s="1"/>
  <c r="B36" i="7" s="1"/>
  <c r="B37" i="7" s="1"/>
  <c r="B38" i="7" s="1"/>
  <c r="B39" i="7" s="1"/>
  <c r="A16" i="1"/>
  <c r="A15" i="1"/>
  <c r="A14" i="1"/>
  <c r="A12" i="1"/>
  <c r="A11" i="1"/>
  <c r="A10" i="1"/>
  <c r="A9" i="1"/>
  <c r="A8" i="1"/>
  <c r="A7" i="1"/>
  <c r="A6" i="1"/>
  <c r="A5" i="1"/>
  <c r="A4" i="1"/>
  <c r="A3" i="1"/>
  <c r="A2" i="1"/>
  <c r="A44" i="2"/>
  <c r="A41" i="2"/>
  <c r="A38" i="2"/>
  <c r="A32" i="2"/>
  <c r="A29" i="2"/>
  <c r="A26" i="2"/>
  <c r="A23" i="2"/>
  <c r="A20" i="2"/>
  <c r="A17" i="2"/>
  <c r="A14" i="2"/>
  <c r="A11" i="2"/>
  <c r="A8" i="2"/>
  <c r="A5" i="2"/>
  <c r="A2" i="2"/>
  <c r="H10" i="1"/>
  <c r="H6" i="1"/>
  <c r="H4" i="1"/>
  <c r="H5" i="1"/>
  <c r="H11" i="1"/>
  <c r="H12" i="1"/>
  <c r="H9" i="1"/>
  <c r="H3" i="1"/>
  <c r="H2" i="1"/>
  <c r="H14" i="1"/>
  <c r="H16" i="1"/>
  <c r="H13" i="1"/>
  <c r="H8" i="1"/>
  <c r="H7" i="1"/>
  <c r="F10" i="1"/>
</calcChain>
</file>

<file path=xl/sharedStrings.xml><?xml version="1.0" encoding="utf-8"?>
<sst xmlns="http://schemas.openxmlformats.org/spreadsheetml/2006/main" count="481" uniqueCount="308">
  <si>
    <t>Plant Label</t>
  </si>
  <si>
    <t>Quantity</t>
  </si>
  <si>
    <t>Sow Indoors</t>
  </si>
  <si>
    <t>Sow/Plant Outdoors</t>
  </si>
  <si>
    <t>Harvest</t>
  </si>
  <si>
    <t>Lavender</t>
  </si>
  <si>
    <t>Sunflower</t>
  </si>
  <si>
    <t>Days to Sprout</t>
  </si>
  <si>
    <t>Days to Maturity</t>
  </si>
  <si>
    <t>Plant Indoors</t>
  </si>
  <si>
    <t>Yes</t>
  </si>
  <si>
    <t>No</t>
  </si>
  <si>
    <t>Acrons</t>
  </si>
  <si>
    <t>Black Walnuts</t>
  </si>
  <si>
    <t>August - September</t>
  </si>
  <si>
    <t>September - November</t>
  </si>
  <si>
    <t>Chinese Wine Berries</t>
  </si>
  <si>
    <t>September - October</t>
  </si>
  <si>
    <t>Blue Berries</t>
  </si>
  <si>
    <t>May - August</t>
  </si>
  <si>
    <t>Black Berries</t>
  </si>
  <si>
    <t>Rasberries</t>
  </si>
  <si>
    <t>July - August</t>
  </si>
  <si>
    <t>Dandilion</t>
  </si>
  <si>
    <t>June - September</t>
  </si>
  <si>
    <t>January</t>
  </si>
  <si>
    <t>February</t>
  </si>
  <si>
    <t>March</t>
  </si>
  <si>
    <t>April</t>
  </si>
  <si>
    <t>May</t>
  </si>
  <si>
    <t>June</t>
  </si>
  <si>
    <t>July</t>
  </si>
  <si>
    <t>August</t>
  </si>
  <si>
    <t>September</t>
  </si>
  <si>
    <t>October</t>
  </si>
  <si>
    <t>November</t>
  </si>
  <si>
    <t>December</t>
  </si>
  <si>
    <t>Blueberries</t>
  </si>
  <si>
    <t>Sow</t>
  </si>
  <si>
    <t>Acorn</t>
  </si>
  <si>
    <t>Korean Radish
http://www.kimchichick.com/pickled-korean-radish/</t>
  </si>
  <si>
    <t>Chicken noodle soup with Radish</t>
  </si>
  <si>
    <t>Preserve Radishes
- Dehydrate radishes. They will rehydrate in soup
- Freeze radishes
https://www.thepurposefulpantry.com/preserve-radishes/</t>
  </si>
  <si>
    <t>Preserve Leeks
https://www.homestratosphere.com/store-leeks/</t>
  </si>
  <si>
    <t>Freeze brocolli</t>
  </si>
  <si>
    <t>Pickle cucumbers</t>
  </si>
  <si>
    <t>Freeze snow peas</t>
  </si>
  <si>
    <t>Freeze pole beans</t>
  </si>
  <si>
    <t>Blueberry preserves</t>
  </si>
  <si>
    <t>Dandelion salad</t>
  </si>
  <si>
    <t>Mulberry preserves</t>
  </si>
  <si>
    <t>Mulberry pie
https://www.yummly.com/recipe/Mulberry-Pie-Allrecipes?prm-v1</t>
  </si>
  <si>
    <t>Ground cherry recipes
https://www.smithsonianmag.com/arts-culture/five-ways-to-eat-ground-cherries-98470003/</t>
  </si>
  <si>
    <t>Pickle jalapeno, pepperoncini and anaheim</t>
  </si>
  <si>
    <t>marinara sauce</t>
  </si>
  <si>
    <t>can tomatoes
https://www.allrecipes.com/article/how-to-can-tomatoes/</t>
  </si>
  <si>
    <t>A</t>
  </si>
  <si>
    <t>B</t>
  </si>
  <si>
    <t>C</t>
  </si>
  <si>
    <t>D</t>
  </si>
  <si>
    <t>E</t>
  </si>
  <si>
    <t>F</t>
  </si>
  <si>
    <t>G</t>
  </si>
  <si>
    <t>H</t>
  </si>
  <si>
    <t>I</t>
  </si>
  <si>
    <t>J</t>
  </si>
  <si>
    <t>K</t>
  </si>
  <si>
    <t>L</t>
  </si>
  <si>
    <t>M</t>
  </si>
  <si>
    <t>N</t>
  </si>
  <si>
    <t>O</t>
  </si>
  <si>
    <t>P</t>
  </si>
  <si>
    <t>Q</t>
  </si>
  <si>
    <t>R</t>
  </si>
  <si>
    <t>S</t>
  </si>
  <si>
    <t>T</t>
  </si>
  <si>
    <t>U</t>
  </si>
  <si>
    <t>V</t>
  </si>
  <si>
    <t>W</t>
  </si>
  <si>
    <t>X</t>
  </si>
  <si>
    <t>Y</t>
  </si>
  <si>
    <t>Z</t>
  </si>
  <si>
    <t>Label</t>
  </si>
  <si>
    <t>Seed</t>
  </si>
  <si>
    <t>Date</t>
  </si>
  <si>
    <t>Italian Pepperoncini Hot Pepper</t>
  </si>
  <si>
    <t>Cucumber, Pick-a-bushel Hybrid</t>
  </si>
  <si>
    <t>Carrot, Nates Half Long</t>
  </si>
  <si>
    <t>Thyme</t>
  </si>
  <si>
    <t>2022</t>
  </si>
  <si>
    <t>Oregano, Greek</t>
  </si>
  <si>
    <t>Cucumber, Sumpter</t>
  </si>
  <si>
    <t>Tomato, Beefsteak</t>
  </si>
  <si>
    <t>Sage, Broad Leaf</t>
  </si>
  <si>
    <t>Okra, Emerald</t>
  </si>
  <si>
    <t>2023</t>
  </si>
  <si>
    <t>Tomato, Roma</t>
  </si>
  <si>
    <t>Basil, Sweet Italian</t>
  </si>
  <si>
    <t>Leek, King Richard</t>
  </si>
  <si>
    <t>tomato soup with grilled cheese</t>
  </si>
  <si>
    <t>Tomato paste
https://www.thespruceeats.com/easy-homemade-tomato-paste-recipe-2216043</t>
  </si>
  <si>
    <t>Preserve tomatos:
https://www.thespruceeats.com/how-to-preserve-tomatoes-2217665</t>
  </si>
  <si>
    <t>Other tomato recipes:
https://www.allrecipes.com/recipes/1095/fruits-and-vegetables/vegetables/tomatoes/</t>
  </si>
  <si>
    <t>Apple Seeds</t>
  </si>
  <si>
    <t>AA</t>
  </si>
  <si>
    <t>BB</t>
  </si>
  <si>
    <t>Rosemary</t>
  </si>
  <si>
    <t>Spinach</t>
  </si>
  <si>
    <t>CC</t>
  </si>
  <si>
    <t>Fennel</t>
  </si>
  <si>
    <t>DD</t>
  </si>
  <si>
    <t>Anaheim Hot Pepper, Heirloom</t>
  </si>
  <si>
    <t>Early Jalapeno, Heirloom</t>
  </si>
  <si>
    <t>Snow Pea, Heirloom</t>
  </si>
  <si>
    <t>Tomato, Black Cherry, Heirloom</t>
  </si>
  <si>
    <t>Radish, Daikon Minowase, Heirloom</t>
  </si>
  <si>
    <t>Okra, Clemson Spineless, Heirloom</t>
  </si>
  <si>
    <t>Tomato, Mortgage Lifter, Heirloom</t>
  </si>
  <si>
    <t>Jalapeno, Heirloom</t>
  </si>
  <si>
    <t>Bok Choy, White Stem, Heirloom</t>
  </si>
  <si>
    <t>Pole Bean, Kentucky Wonder, Heirloom</t>
  </si>
  <si>
    <t>Broccoli, De Cicco, Heirloom</t>
  </si>
  <si>
    <t>Watermelon, Crimson Sweet, Heirloom</t>
  </si>
  <si>
    <t xml:space="preserve">Asparagus </t>
  </si>
  <si>
    <t>Syrup Tapping</t>
  </si>
  <si>
    <t>Pickled Asparagus: https://www.allrecipes.com/recipe/69722/pickled-asparagus/</t>
  </si>
  <si>
    <t>Syrup: https://practicalselfreliance.com/trees-species-tap-syrup/</t>
  </si>
  <si>
    <t>EE</t>
  </si>
  <si>
    <t>Chamomile</t>
  </si>
  <si>
    <t>FF</t>
  </si>
  <si>
    <t>Watermelon, Sugar Baby, Herloom</t>
  </si>
  <si>
    <t>Hawthorn</t>
  </si>
  <si>
    <t>Pokeweed</t>
  </si>
  <si>
    <t>GG</t>
  </si>
  <si>
    <t>Green Pepper</t>
  </si>
  <si>
    <t>HH</t>
  </si>
  <si>
    <t>Common Mullein</t>
  </si>
  <si>
    <t>Asparagus</t>
  </si>
  <si>
    <t>Chestnuts</t>
  </si>
  <si>
    <t>Sunchokes</t>
  </si>
  <si>
    <t>Potatoes</t>
  </si>
  <si>
    <t>Redbud Pods</t>
  </si>
  <si>
    <t>Redbud flowers</t>
  </si>
  <si>
    <t>Cucumber</t>
  </si>
  <si>
    <t>Okra</t>
  </si>
  <si>
    <t>Jalapeno</t>
  </si>
  <si>
    <t>Ground Cherry</t>
  </si>
  <si>
    <t>Broccoli</t>
  </si>
  <si>
    <t>Watermelon</t>
  </si>
  <si>
    <t>WALL</t>
  </si>
  <si>
    <t>Pepperoncini</t>
  </si>
  <si>
    <t>Tomato Beefsteak</t>
  </si>
  <si>
    <t>Tomato Roma</t>
  </si>
  <si>
    <t>Patio</t>
  </si>
  <si>
    <t>Sweet Corn
Golden Zuks</t>
  </si>
  <si>
    <t>Silver Queen Corn
Golden Zuks</t>
  </si>
  <si>
    <t>Silver Queen Corn
Round Zuks</t>
  </si>
  <si>
    <t>Sweet Corn
Round Zuks</t>
  </si>
  <si>
    <t>Sweet Corn
Grey Zuks</t>
  </si>
  <si>
    <t>Silver Queen Corn
Grey Zuks</t>
  </si>
  <si>
    <t>Sweet Corn
Cocozelle Zuks</t>
  </si>
  <si>
    <t>Silver Queen Corn
Cocozelle Zuks</t>
  </si>
  <si>
    <t>Composter</t>
  </si>
  <si>
    <t>Round Zukes</t>
  </si>
  <si>
    <t>Corn
Summer Squash</t>
  </si>
  <si>
    <t>Corn
Black Beauty Zuks</t>
  </si>
  <si>
    <t>Corn
Golden
Zuks</t>
  </si>
  <si>
    <t>House</t>
  </si>
  <si>
    <t>Deck</t>
  </si>
  <si>
    <t>Garlic Mustard</t>
  </si>
  <si>
    <t>Blackberries</t>
  </si>
  <si>
    <t>Mulberries</t>
  </si>
  <si>
    <t>Blackwalnut</t>
  </si>
  <si>
    <t>Japanese Knotweed</t>
  </si>
  <si>
    <t>Garlic Mustard Pesto: https://backyardforager.com/garlic-mustard-pesto/</t>
  </si>
  <si>
    <t xml:space="preserve">Japanese Knotweed Jam (use it like rhubarb): https://www.delish.com/cooking/recipe-ideas/a27059524/rhubarb-jam-recipe/ </t>
  </si>
  <si>
    <t>II</t>
  </si>
  <si>
    <t>JJ</t>
  </si>
  <si>
    <t>KK</t>
  </si>
  <si>
    <t>LL</t>
  </si>
  <si>
    <t>MM</t>
  </si>
  <si>
    <t>NN</t>
  </si>
  <si>
    <t>OO</t>
  </si>
  <si>
    <t>PP</t>
  </si>
  <si>
    <t>QQ</t>
  </si>
  <si>
    <t>RR</t>
  </si>
  <si>
    <t>SS</t>
  </si>
  <si>
    <t>TT</t>
  </si>
  <si>
    <t>Sweet Corn</t>
  </si>
  <si>
    <t>Cape Gooseberries</t>
  </si>
  <si>
    <t>Dill</t>
  </si>
  <si>
    <t>Saskatoon Serviceberry</t>
  </si>
  <si>
    <t xml:space="preserve">Round Zucchini </t>
  </si>
  <si>
    <t>Golden Zucchini</t>
  </si>
  <si>
    <t>Grey Zucchini</t>
  </si>
  <si>
    <t>Cocozelle Zucchini</t>
  </si>
  <si>
    <t>Zucchini Black Beauty</t>
  </si>
  <si>
    <t xml:space="preserve">Summer Squash 49er Hybrid </t>
  </si>
  <si>
    <t>Lemon Balm</t>
  </si>
  <si>
    <t>Caulifower</t>
  </si>
  <si>
    <t>2024</t>
  </si>
  <si>
    <t>lbs of Veges</t>
  </si>
  <si>
    <t>Amount of salt (tsp)</t>
  </si>
  <si>
    <t>Additional water (cups)</t>
  </si>
  <si>
    <t>Additional salt (tsp)</t>
  </si>
  <si>
    <t>Pickle ingredients: dill + 1/4 white vinegar + mustard seed + coriander seed + black peppercorn  dried garlic red pepper flakes + Celery Seed</t>
  </si>
  <si>
    <t>Plant Type</t>
  </si>
  <si>
    <t>What Goes In The Ground? 
(Seed, Stem or Tuber)</t>
  </si>
  <si>
    <t>Planting Technique</t>
  </si>
  <si>
    <t>Grow Period and Maintenance</t>
  </si>
  <si>
    <t>Harvest Technique</t>
  </si>
  <si>
    <t>Potato</t>
  </si>
  <si>
    <t>all summer, very low maintenance</t>
  </si>
  <si>
    <t>wait for the plant to die. Then wait an extra 2 weeks before harvest</t>
  </si>
  <si>
    <t>Winter Squash</t>
  </si>
  <si>
    <t>seed</t>
  </si>
  <si>
    <t>Let the squash ripen to the point where there is no green left on the squash or veins. Then leave out in the sun for a few days to cure</t>
  </si>
  <si>
    <t>whole tuber</t>
  </si>
  <si>
    <t>do not cut the tuber. Best to plant in a container due to invasiveness</t>
  </si>
  <si>
    <t>no maintenace all summer. Cut off the flowers at the end of the season to trigger tuber development</t>
  </si>
  <si>
    <t>Leave in the ground through winter and harvest as needed</t>
  </si>
  <si>
    <t>jalapenos</t>
  </si>
  <si>
    <t>Spud - cut with eyes or a whole spud
Tip: Buy bunching varieties rather than vine so that you don't have to hunt for potatoes</t>
  </si>
  <si>
    <t>all summer, very low maintenance.</t>
  </si>
  <si>
    <t>Plant 6-12" below the surface. Best to make a mound for easier harvest so that the ground is loose.
Tip: mulch with a mound of leaves</t>
  </si>
  <si>
    <t>1" below the surface in an area with moist soil and full sun
Tip: trellis this plant so that you can go vertical and so you can keep track of where the squash are</t>
  </si>
  <si>
    <t>Corn</t>
  </si>
  <si>
    <t>Plant in at least three rows 12" wide, with each kernel a couple of inches apart
tip: planting in a square block works better than a row because corn is wind polinated</t>
  </si>
  <si>
    <t>tomatoes</t>
  </si>
  <si>
    <t>Carots</t>
  </si>
  <si>
    <t>plant really early in the spring and plant them thick so you can thin them out later
tip: find a short stumpy rather than long skinny ones</t>
  </si>
  <si>
    <t>thin out the carrots to about as wide as you want them to be (3-4 in)</t>
  </si>
  <si>
    <t>pull them up from the leaves. Will store for a quite a while</t>
  </si>
  <si>
    <t>Stawberries</t>
  </si>
  <si>
    <t>plant in rows and cover with straw</t>
  </si>
  <si>
    <t>Keep straw down year round. Don't let them grow into a patch unless you want them for ground cover</t>
  </si>
  <si>
    <t>Harvest frequently. To keep the strawberries from going rotten. Consider planting new strawberries every year to keep them big. They will get smaller every year otherwise</t>
  </si>
  <si>
    <t>Cilantro</t>
  </si>
  <si>
    <t>harvest routinely to keep them from bolting</t>
  </si>
  <si>
    <t>leave about 1/3 of the plants to go to seed. They will reseed themselves</t>
  </si>
  <si>
    <t>plant them somewhere they can get heat and sun</t>
  </si>
  <si>
    <t>Onion</t>
  </si>
  <si>
    <t>Preservation/curing</t>
  </si>
  <si>
    <t>plant in a row 6" apart. They don't want to be crowded in the ground or fight for sunlight</t>
  </si>
  <si>
    <t>once the tops have flopped over for at least a week, they are ready to harvest</t>
  </si>
  <si>
    <t>let sit outside in covered daylight (i.e. under the patio cover) for 1-2 weeks. Once the tops have browned, cut off leaving about 2" above the onion. Then let them sit in the same place for another 2 weeks</t>
  </si>
  <si>
    <t>water and weed. Mulch with leaves</t>
  </si>
  <si>
    <t>beans like company so put two in each hole</t>
  </si>
  <si>
    <t>beans/peas</t>
  </si>
  <si>
    <t>q</t>
  </si>
  <si>
    <t xml:space="preserve">train on a trellis </t>
  </si>
  <si>
    <t>Wait for the vines to be dead and dry. Pull all the vines onto the patio and pick all the pods while comfortable on the porch. Then put the pods into a pillow case and beat it to release the beans</t>
  </si>
  <si>
    <t>put into a mason jar</t>
  </si>
  <si>
    <t>Plants you're Trying to Protect</t>
  </si>
  <si>
    <t>Technique</t>
  </si>
  <si>
    <t>Plant Radishes as a trap plant</t>
  </si>
  <si>
    <t xml:space="preserve">Cucumbers, Squash Melons and Cabbage and watermelon </t>
  </si>
  <si>
    <t>Tomatoes, beans, peppers, melons</t>
  </si>
  <si>
    <t>Pest</t>
  </si>
  <si>
    <t>Flea Beatles and Root Maggots</t>
  </si>
  <si>
    <t xml:space="preserve">Aphids and nematodes  </t>
  </si>
  <si>
    <t>Flea Beatles and aphids</t>
  </si>
  <si>
    <t>tomatoes, potatoes and beans</t>
  </si>
  <si>
    <t>horn worms</t>
  </si>
  <si>
    <t>Tomatoes</t>
  </si>
  <si>
    <t>plant dill as a trap plant. It attracks horn worms, but the horn worms don't damage the plan</t>
  </si>
  <si>
    <t>Plant mustard as a trap plant</t>
  </si>
  <si>
    <t>plant borage as a trap plant</t>
  </si>
  <si>
    <t>Tomatoes and strawberries</t>
  </si>
  <si>
    <t>UU</t>
  </si>
  <si>
    <t>B1</t>
  </si>
  <si>
    <t>B2</t>
  </si>
  <si>
    <t>A1</t>
  </si>
  <si>
    <t>A2</t>
  </si>
  <si>
    <t>A3</t>
  </si>
  <si>
    <t>A4</t>
  </si>
  <si>
    <t>A5</t>
  </si>
  <si>
    <t>A6</t>
  </si>
  <si>
    <t>A7</t>
  </si>
  <si>
    <t>A8</t>
  </si>
  <si>
    <t>A9</t>
  </si>
  <si>
    <t>B3</t>
  </si>
  <si>
    <t>B4</t>
  </si>
  <si>
    <t>B5</t>
  </si>
  <si>
    <t>B6</t>
  </si>
  <si>
    <t>B7</t>
  </si>
  <si>
    <t>Strawberries (wild)</t>
  </si>
  <si>
    <t>2025</t>
  </si>
  <si>
    <t>Tomatillo (Toma Verde)</t>
  </si>
  <si>
    <t>Cayenne Long Slim Hot Pepper</t>
  </si>
  <si>
    <t>Hot Banana Pepper</t>
  </si>
  <si>
    <t>Sweet Banana Pepper</t>
  </si>
  <si>
    <t>Eggplant</t>
  </si>
  <si>
    <t>Marigold (crackerjack)</t>
  </si>
  <si>
    <t>Calendula (greenheart mix)</t>
  </si>
  <si>
    <t>Assorted Pepper Seeds</t>
  </si>
  <si>
    <t>Kabocha Squash</t>
  </si>
  <si>
    <t>Butternut Squash</t>
  </si>
  <si>
    <t>Italian Parsley</t>
  </si>
  <si>
    <t>Summer Savory</t>
  </si>
  <si>
    <t>Marjoram</t>
  </si>
  <si>
    <t>Curled Chervil</t>
  </si>
  <si>
    <t>Chives</t>
  </si>
  <si>
    <t>Fermented Kimchi: https://www.thekitchn.com/how-to-make-easy-kimchi-at-home-189390</t>
  </si>
  <si>
    <t>mid-late March</t>
  </si>
  <si>
    <t>mid-late February</t>
  </si>
  <si>
    <t>Late April</t>
  </si>
  <si>
    <t>Late 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</si>
</sst>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8"/>
      <color theme="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9"/>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rgb="FFFFFF0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5" tint="-0.249977111117893"/>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7">
    <xf numFmtId="0" fontId="0" fillId="0" borderId="0" xfId="0"/>
    <xf numFmtId="14" fontId="0" fillId="0" borderId="0" xfId="0" applyNumberFormat="1"/>
    <xf numFmtId="0" fontId="0" fillId="0" borderId="0" xfId="0" applyAlignment="1">
      <alignment wrapText="1"/>
    </xf>
    <xf numFmtId="0" fontId="0" fillId="0" borderId="0" xfId="0"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5" borderId="0" xfId="0" applyFill="1"/>
    <xf numFmtId="0" fontId="0" fillId="34" borderId="0" xfId="0" applyFill="1"/>
    <xf numFmtId="0" fontId="0" fillId="35" borderId="0" xfId="0" applyFill="1" applyAlignment="1">
      <alignment horizontal="center"/>
    </xf>
    <xf numFmtId="0" fontId="16" fillId="0" borderId="0" xfId="0" applyFont="1"/>
    <xf numFmtId="49" fontId="0" fillId="0" borderId="0" xfId="0" applyNumberFormat="1"/>
    <xf numFmtId="0" fontId="0" fillId="0" borderId="0" xfId="0" applyAlignment="1">
      <alignment horizontal="center" vertical="center"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7" xfId="0" applyBorder="1"/>
    <xf numFmtId="0" fontId="0" fillId="0" borderId="14" xfId="0" applyBorder="1" applyAlignment="1">
      <alignment wrapText="1"/>
    </xf>
    <xf numFmtId="0" fontId="0" fillId="0" borderId="16" xfId="0" applyBorder="1" applyAlignment="1">
      <alignment wrapText="1"/>
    </xf>
    <xf numFmtId="0" fontId="0" fillId="0" borderId="19" xfId="0" applyBorder="1"/>
    <xf numFmtId="2" fontId="0" fillId="0" borderId="19" xfId="0" applyNumberFormat="1" applyBorder="1"/>
    <xf numFmtId="0" fontId="0" fillId="0" borderId="26" xfId="0" applyBorder="1" applyAlignment="1">
      <alignment wrapText="1"/>
    </xf>
    <xf numFmtId="49" fontId="0" fillId="37" borderId="0" xfId="0" applyNumberFormat="1" applyFill="1"/>
    <xf numFmtId="49" fontId="0" fillId="0" borderId="0" xfId="0" applyNumberFormat="1" applyAlignment="1">
      <alignment wrapText="1"/>
    </xf>
    <xf numFmtId="49" fontId="0" fillId="37" borderId="0" xfId="0" applyNumberFormat="1" applyFill="1" applyAlignment="1">
      <alignment wrapText="1"/>
    </xf>
    <xf numFmtId="0" fontId="0" fillId="36" borderId="16" xfId="0" applyFill="1" applyBorder="1" applyAlignment="1">
      <alignment horizontal="center"/>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18" xfId="0" applyBorder="1" applyAlignment="1">
      <alignment horizontal="center"/>
    </xf>
    <xf numFmtId="0" fontId="19" fillId="0" borderId="19" xfId="0" applyFont="1" applyBorder="1" applyAlignment="1">
      <alignment horizontal="center" vertical="center" wrapText="1"/>
    </xf>
    <xf numFmtId="0" fontId="19" fillId="0" borderId="19" xfId="0" applyFont="1" applyBorder="1" applyAlignment="1">
      <alignment horizontal="center" vertical="center"/>
    </xf>
    <xf numFmtId="0" fontId="19" fillId="0" borderId="20" xfId="0" applyFont="1" applyBorder="1" applyAlignment="1">
      <alignment horizontal="center" vertical="center" wrapText="1"/>
    </xf>
    <xf numFmtId="0" fontId="19" fillId="0" borderId="20"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19" fillId="0" borderId="21" xfId="0" applyFont="1" applyBorder="1" applyAlignment="1">
      <alignment horizontal="center" vertical="center"/>
    </xf>
    <xf numFmtId="0" fontId="19" fillId="0" borderId="22" xfId="0" applyFont="1" applyBorder="1" applyAlignment="1">
      <alignment horizontal="center" vertical="center" wrapText="1"/>
    </xf>
    <xf numFmtId="0" fontId="0" fillId="0" borderId="18" xfId="0" applyBorder="1" applyAlignment="1">
      <alignment horizontal="center" vertical="center"/>
    </xf>
    <xf numFmtId="0" fontId="0" fillId="0" borderId="18" xfId="0" applyBorder="1" applyAlignment="1">
      <alignment horizontal="center" vertical="center" textRotation="90"/>
    </xf>
    <xf numFmtId="0" fontId="19" fillId="0" borderId="23" xfId="0" applyFont="1" applyBorder="1" applyAlignment="1">
      <alignment horizontal="center" vertical="center" wrapText="1"/>
    </xf>
    <xf numFmtId="0" fontId="19" fillId="0" borderId="23" xfId="0" applyFont="1" applyBorder="1" applyAlignment="1">
      <alignment horizontal="center" vertical="center"/>
    </xf>
    <xf numFmtId="0" fontId="19" fillId="0" borderId="18" xfId="0" applyFont="1" applyBorder="1" applyAlignment="1">
      <alignment horizontal="center" vertical="center" wrapText="1"/>
    </xf>
    <xf numFmtId="0" fontId="19" fillId="0" borderId="18" xfId="0" applyFont="1" applyBorder="1" applyAlignment="1">
      <alignment horizontal="center" vertical="center"/>
    </xf>
    <xf numFmtId="0" fontId="0" fillId="0" borderId="24" xfId="0" applyBorder="1" applyAlignment="1">
      <alignment horizontal="center" vertical="center" textRotation="90"/>
    </xf>
    <xf numFmtId="0" fontId="0" fillId="0" borderId="19" xfId="0" applyBorder="1" applyAlignment="1">
      <alignment horizontal="center" vertical="center" textRotation="90"/>
    </xf>
    <xf numFmtId="0" fontId="0" fillId="0" borderId="25" xfId="0" applyBorder="1" applyAlignment="1">
      <alignment horizontal="center" vertical="center" textRotation="90"/>
    </xf>
    <xf numFmtId="0" fontId="0" fillId="0" borderId="21" xfId="0" applyBorder="1" applyAlignment="1">
      <alignment horizontal="center" vertical="center" textRotation="90"/>
    </xf>
    <xf numFmtId="0" fontId="0" fillId="0" borderId="0" xfId="0" applyAlignment="1">
      <alignment horizontal="center"/>
    </xf>
    <xf numFmtId="0" fontId="0" fillId="0" borderId="0" xfId="0" applyAlignment="1">
      <alignment horizontal="left" vertical="top" wrapText="1"/>
    </xf>
    <xf numFmtId="0" fontId="0" fillId="33" borderId="0" xfId="0" applyFill="1"/>
    <xf numFmtId="0" fontId="0" fillId="38" borderId="0" xfId="0" applyFill="1"/>
    <xf numFmtId="0" fontId="0" fillId="39" borderId="0" xfId="0" applyFill="1"/>
    <xf numFmtId="0" fontId="0" fillId="4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5</xdr:col>
      <xdr:colOff>84039</xdr:colOff>
      <xdr:row>23</xdr:row>
      <xdr:rowOff>11765</xdr:rowOff>
    </xdr:to>
    <xdr:pic>
      <xdr:nvPicPr>
        <xdr:cNvPr id="2" name="Picture 1">
          <a:extLst>
            <a:ext uri="{FF2B5EF4-FFF2-40B4-BE49-F238E27FC236}">
              <a16:creationId xmlns:a16="http://schemas.microsoft.com/office/drawing/2014/main" id="{3655CE9B-4453-A145-993A-7A1D4D5BCBFA}"/>
            </a:ext>
          </a:extLst>
        </xdr:cNvPr>
        <xdr:cNvPicPr>
          <a:picLocks noChangeAspect="1"/>
        </xdr:cNvPicPr>
      </xdr:nvPicPr>
      <xdr:blipFill>
        <a:blip xmlns:r="http://schemas.openxmlformats.org/officeDocument/2006/relationships" r:embed="rId1"/>
        <a:stretch>
          <a:fillRect/>
        </a:stretch>
      </xdr:blipFill>
      <xdr:spPr>
        <a:xfrm>
          <a:off x="609600" y="365760"/>
          <a:ext cx="2522439" cy="3871295"/>
        </a:xfrm>
        <a:prstGeom prst="rect">
          <a:avLst/>
        </a:prstGeom>
      </xdr:spPr>
    </xdr:pic>
    <xdr:clientData/>
  </xdr:twoCellAnchor>
  <xdr:twoCellAnchor editAs="oneCell">
    <xdr:from>
      <xdr:col>1</xdr:col>
      <xdr:colOff>0</xdr:colOff>
      <xdr:row>24</xdr:row>
      <xdr:rowOff>0</xdr:rowOff>
    </xdr:from>
    <xdr:to>
      <xdr:col>6</xdr:col>
      <xdr:colOff>244125</xdr:colOff>
      <xdr:row>42</xdr:row>
      <xdr:rowOff>28864</xdr:rowOff>
    </xdr:to>
    <xdr:pic>
      <xdr:nvPicPr>
        <xdr:cNvPr id="3" name="Picture 2">
          <a:extLst>
            <a:ext uri="{FF2B5EF4-FFF2-40B4-BE49-F238E27FC236}">
              <a16:creationId xmlns:a16="http://schemas.microsoft.com/office/drawing/2014/main" id="{D2EB5798-92E2-3285-10B7-89562C75FDF7}"/>
            </a:ext>
          </a:extLst>
        </xdr:cNvPr>
        <xdr:cNvPicPr>
          <a:picLocks noChangeAspect="1"/>
        </xdr:cNvPicPr>
      </xdr:nvPicPr>
      <xdr:blipFill>
        <a:blip xmlns:r="http://schemas.openxmlformats.org/officeDocument/2006/relationships" r:embed="rId2"/>
        <a:stretch>
          <a:fillRect/>
        </a:stretch>
      </xdr:blipFill>
      <xdr:spPr>
        <a:xfrm>
          <a:off x="609600" y="4389120"/>
          <a:ext cx="3292125" cy="333022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23" totalsRowShown="0">
  <autoFilter ref="A1:H23" xr:uid="{00000000-0009-0000-0100-000001000000}"/>
  <sortState xmlns:xlrd2="http://schemas.microsoft.com/office/spreadsheetml/2017/richdata2" ref="A2:H23">
    <sortCondition ref="F1:F23"/>
  </sortState>
  <tableColumns count="8">
    <tableColumn id="3" xr3:uid="{00000000-0010-0000-0000-000003000000}" name="Plant Label"/>
    <tableColumn id="4" xr3:uid="{00000000-0010-0000-0000-000004000000}" name="Quantity"/>
    <tableColumn id="5" xr3:uid="{00000000-0010-0000-0000-000005000000}" name="Days to Sprout"/>
    <tableColumn id="6" xr3:uid="{00000000-0010-0000-0000-000006000000}" name="Days to Maturity"/>
    <tableColumn id="7" xr3:uid="{00000000-0010-0000-0000-000007000000}" name="Plant Indoors"/>
    <tableColumn id="8" xr3:uid="{00000000-0010-0000-0000-000008000000}" name="Sow Indoors" dataDxfId="2"/>
    <tableColumn id="9" xr3:uid="{00000000-0010-0000-0000-000009000000}" name="Sow/Plant Outdoors" dataDxfId="1"/>
    <tableColumn id="10" xr3:uid="{00000000-0010-0000-0000-00000A000000}" name="Harvest" dataDxfId="0">
      <calculatedColumnFormula>Table1[[#This Row],[Sow/Plant Outdoors]]+Table1[[#This Row],[Days to Maturity]]</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90C06-D4CE-472E-BD88-5FC17CB5F43B}">
  <dimension ref="B2:E9"/>
  <sheetViews>
    <sheetView workbookViewId="0">
      <selection activeCell="O4" sqref="O4"/>
    </sheetView>
  </sheetViews>
  <sheetFormatPr defaultRowHeight="14.4" x14ac:dyDescent="0.3"/>
  <cols>
    <col min="2" max="2" width="13.33203125" style="2" customWidth="1"/>
    <col min="3" max="14" width="13.33203125" customWidth="1"/>
  </cols>
  <sheetData>
    <row r="2" spans="2:5" ht="15" customHeight="1" thickBot="1" x14ac:dyDescent="0.35">
      <c r="C2" s="27" t="s">
        <v>149</v>
      </c>
      <c r="D2" s="27"/>
      <c r="E2" s="27"/>
    </row>
    <row r="3" spans="2:5" ht="55.95" customHeight="1" x14ac:dyDescent="0.3">
      <c r="B3" s="2" t="s">
        <v>150</v>
      </c>
      <c r="C3" s="12" t="s">
        <v>106</v>
      </c>
      <c r="D3" s="13" t="s">
        <v>143</v>
      </c>
      <c r="E3" s="14" t="s">
        <v>144</v>
      </c>
    </row>
    <row r="4" spans="2:5" ht="55.95" customHeight="1" x14ac:dyDescent="0.3">
      <c r="B4" s="2" t="s">
        <v>151</v>
      </c>
      <c r="C4" s="15" t="s">
        <v>152</v>
      </c>
      <c r="D4" t="s">
        <v>145</v>
      </c>
      <c r="E4" s="16" t="s">
        <v>144</v>
      </c>
    </row>
    <row r="5" spans="2:5" ht="55.95" customHeight="1" x14ac:dyDescent="0.3">
      <c r="C5" s="15" t="s">
        <v>146</v>
      </c>
      <c r="D5" t="s">
        <v>147</v>
      </c>
      <c r="E5" s="16" t="s">
        <v>147</v>
      </c>
    </row>
    <row r="6" spans="2:5" ht="55.95" customHeight="1" x14ac:dyDescent="0.3">
      <c r="C6" s="15" t="s">
        <v>109</v>
      </c>
      <c r="D6" t="s">
        <v>147</v>
      </c>
      <c r="E6" s="16" t="s">
        <v>147</v>
      </c>
    </row>
    <row r="7" spans="2:5" ht="55.95" customHeight="1" x14ac:dyDescent="0.3">
      <c r="C7" s="15" t="s">
        <v>109</v>
      </c>
      <c r="D7" t="s">
        <v>148</v>
      </c>
      <c r="E7" s="16" t="s">
        <v>148</v>
      </c>
    </row>
    <row r="8" spans="2:5" ht="55.95" customHeight="1" x14ac:dyDescent="0.3">
      <c r="C8" s="15" t="s">
        <v>109</v>
      </c>
      <c r="D8" t="s">
        <v>109</v>
      </c>
      <c r="E8" s="19" t="s">
        <v>136</v>
      </c>
    </row>
    <row r="9" spans="2:5" ht="60" customHeight="1" thickBot="1" x14ac:dyDescent="0.35">
      <c r="C9" s="17"/>
      <c r="D9" s="20"/>
      <c r="E9" s="18"/>
    </row>
  </sheetData>
  <mergeCells count="1">
    <mergeCell ref="C2:E2"/>
  </mergeCells>
  <phoneticPr fontId="18" type="noConversion"/>
  <pageMargins left="0.7" right="0.7" top="0.75" bottom="0.75" header="0.3" footer="0.3"/>
  <pageSetup orientation="landscape"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B7D47-9EAB-4017-9446-19C158A1285B}">
  <dimension ref="B1:G36"/>
  <sheetViews>
    <sheetView tabSelected="1" topLeftCell="A19" workbookViewId="0">
      <selection activeCell="F36" sqref="F36"/>
    </sheetView>
  </sheetViews>
  <sheetFormatPr defaultRowHeight="14.4" x14ac:dyDescent="0.3"/>
  <cols>
    <col min="3" max="3" width="27.5546875" style="25" customWidth="1"/>
    <col min="4" max="4" width="10.109375" style="10" customWidth="1"/>
    <col min="5" max="5" width="8.44140625" customWidth="1"/>
    <col min="6" max="6" width="28" customWidth="1"/>
  </cols>
  <sheetData>
    <row r="1" spans="2:7" x14ac:dyDescent="0.3">
      <c r="B1" t="s">
        <v>82</v>
      </c>
      <c r="C1" s="25" t="s">
        <v>83</v>
      </c>
      <c r="D1" s="10" t="s">
        <v>84</v>
      </c>
      <c r="E1" t="s">
        <v>82</v>
      </c>
      <c r="F1" s="10" t="s">
        <v>83</v>
      </c>
      <c r="G1" s="10" t="s">
        <v>84</v>
      </c>
    </row>
    <row r="2" spans="2:7" x14ac:dyDescent="0.3">
      <c r="B2" t="s">
        <v>56</v>
      </c>
      <c r="C2" s="25" t="s">
        <v>111</v>
      </c>
      <c r="D2" s="10">
        <v>2023</v>
      </c>
      <c r="E2" t="s">
        <v>177</v>
      </c>
      <c r="F2" s="25" t="s">
        <v>189</v>
      </c>
      <c r="G2" s="10" t="s">
        <v>200</v>
      </c>
    </row>
    <row r="3" spans="2:7" x14ac:dyDescent="0.3">
      <c r="B3" t="s">
        <v>57</v>
      </c>
      <c r="C3" s="25" t="s">
        <v>112</v>
      </c>
      <c r="D3" s="10">
        <v>2023</v>
      </c>
      <c r="E3" s="53" t="s">
        <v>178</v>
      </c>
      <c r="F3" s="25" t="s">
        <v>190</v>
      </c>
      <c r="G3" s="10" t="s">
        <v>200</v>
      </c>
    </row>
    <row r="4" spans="2:7" x14ac:dyDescent="0.3">
      <c r="B4" s="53" t="s">
        <v>58</v>
      </c>
      <c r="C4" s="25" t="s">
        <v>5</v>
      </c>
      <c r="D4" s="10">
        <v>2023</v>
      </c>
      <c r="E4" s="53" t="s">
        <v>179</v>
      </c>
      <c r="F4" s="25" t="s">
        <v>191</v>
      </c>
      <c r="G4" s="10" t="s">
        <v>200</v>
      </c>
    </row>
    <row r="5" spans="2:7" x14ac:dyDescent="0.3">
      <c r="B5" t="s">
        <v>59</v>
      </c>
      <c r="C5" s="26" t="s">
        <v>85</v>
      </c>
      <c r="D5" s="10">
        <v>2023</v>
      </c>
      <c r="E5" t="s">
        <v>180</v>
      </c>
      <c r="F5" s="25" t="s">
        <v>192</v>
      </c>
      <c r="G5" s="10" t="s">
        <v>200</v>
      </c>
    </row>
    <row r="6" spans="2:7" x14ac:dyDescent="0.3">
      <c r="B6" s="53" t="s">
        <v>60</v>
      </c>
      <c r="C6" s="25" t="s">
        <v>113</v>
      </c>
      <c r="D6" s="10">
        <v>2023</v>
      </c>
      <c r="E6" t="s">
        <v>181</v>
      </c>
      <c r="F6" s="25" t="s">
        <v>193</v>
      </c>
      <c r="G6" s="10" t="s">
        <v>200</v>
      </c>
    </row>
    <row r="7" spans="2:7" x14ac:dyDescent="0.3">
      <c r="B7" t="s">
        <v>61</v>
      </c>
      <c r="C7" s="25" t="s">
        <v>86</v>
      </c>
      <c r="D7" s="10">
        <v>2023</v>
      </c>
      <c r="E7" t="s">
        <v>182</v>
      </c>
      <c r="F7" s="25" t="s">
        <v>194</v>
      </c>
      <c r="G7" s="10" t="s">
        <v>200</v>
      </c>
    </row>
    <row r="8" spans="2:7" x14ac:dyDescent="0.3">
      <c r="B8" t="s">
        <v>62</v>
      </c>
      <c r="C8" s="25" t="s">
        <v>114</v>
      </c>
      <c r="D8" s="10">
        <v>2023</v>
      </c>
      <c r="E8" t="s">
        <v>183</v>
      </c>
      <c r="F8" s="25" t="s">
        <v>195</v>
      </c>
      <c r="G8" s="10" t="s">
        <v>200</v>
      </c>
    </row>
    <row r="9" spans="2:7" ht="28.8" x14ac:dyDescent="0.3">
      <c r="B9" s="53" t="s">
        <v>63</v>
      </c>
      <c r="C9" s="25" t="s">
        <v>115</v>
      </c>
      <c r="D9" s="10">
        <v>2023</v>
      </c>
      <c r="E9" t="s">
        <v>184</v>
      </c>
      <c r="F9" s="25" t="s">
        <v>196</v>
      </c>
      <c r="G9" s="10" t="s">
        <v>200</v>
      </c>
    </row>
    <row r="10" spans="2:7" ht="28.8" x14ac:dyDescent="0.3">
      <c r="B10" t="s">
        <v>64</v>
      </c>
      <c r="C10" s="25" t="s">
        <v>116</v>
      </c>
      <c r="D10" s="10">
        <v>2023</v>
      </c>
      <c r="E10" t="s">
        <v>185</v>
      </c>
      <c r="F10" s="25" t="s">
        <v>197</v>
      </c>
      <c r="G10" s="10" t="s">
        <v>200</v>
      </c>
    </row>
    <row r="11" spans="2:7" ht="28.8" x14ac:dyDescent="0.3">
      <c r="B11" t="s">
        <v>65</v>
      </c>
      <c r="C11" s="25" t="s">
        <v>117</v>
      </c>
      <c r="D11" s="10">
        <v>2023</v>
      </c>
      <c r="E11" t="s">
        <v>186</v>
      </c>
      <c r="F11" s="26" t="s">
        <v>198</v>
      </c>
      <c r="G11" s="10" t="s">
        <v>200</v>
      </c>
    </row>
    <row r="12" spans="2:7" x14ac:dyDescent="0.3">
      <c r="B12" t="s">
        <v>66</v>
      </c>
      <c r="C12" s="25" t="s">
        <v>87</v>
      </c>
      <c r="D12" s="10">
        <v>2023</v>
      </c>
      <c r="E12" t="s">
        <v>187</v>
      </c>
      <c r="F12" s="25" t="s">
        <v>199</v>
      </c>
      <c r="G12" s="10" t="s">
        <v>200</v>
      </c>
    </row>
    <row r="13" spans="2:7" x14ac:dyDescent="0.3">
      <c r="B13" t="s">
        <v>67</v>
      </c>
      <c r="C13" s="25" t="s">
        <v>88</v>
      </c>
      <c r="D13" s="10" t="s">
        <v>89</v>
      </c>
      <c r="E13" s="53" t="s">
        <v>269</v>
      </c>
      <c r="F13" s="10" t="s">
        <v>286</v>
      </c>
      <c r="G13" s="10" t="s">
        <v>287</v>
      </c>
    </row>
    <row r="14" spans="2:7" x14ac:dyDescent="0.3">
      <c r="B14" t="s">
        <v>68</v>
      </c>
      <c r="C14" s="25" t="s">
        <v>90</v>
      </c>
      <c r="D14" s="10" t="s">
        <v>89</v>
      </c>
      <c r="E14" t="s">
        <v>272</v>
      </c>
      <c r="F14" s="24" t="s">
        <v>288</v>
      </c>
      <c r="G14" s="10" t="s">
        <v>287</v>
      </c>
    </row>
    <row r="15" spans="2:7" x14ac:dyDescent="0.3">
      <c r="B15" t="s">
        <v>69</v>
      </c>
      <c r="C15" s="25" t="s">
        <v>91</v>
      </c>
      <c r="D15" s="10" t="s">
        <v>89</v>
      </c>
      <c r="E15" t="s">
        <v>273</v>
      </c>
      <c r="F15" s="10" t="s">
        <v>289</v>
      </c>
      <c r="G15" s="10" t="s">
        <v>287</v>
      </c>
    </row>
    <row r="16" spans="2:7" x14ac:dyDescent="0.3">
      <c r="B16" t="s">
        <v>70</v>
      </c>
      <c r="C16" s="25" t="s">
        <v>92</v>
      </c>
      <c r="D16" s="10" t="s">
        <v>89</v>
      </c>
      <c r="E16" t="s">
        <v>274</v>
      </c>
      <c r="F16" s="10" t="s">
        <v>291</v>
      </c>
      <c r="G16" s="10" t="s">
        <v>287</v>
      </c>
    </row>
    <row r="17" spans="2:7" x14ac:dyDescent="0.3">
      <c r="B17" t="s">
        <v>71</v>
      </c>
      <c r="C17" s="25" t="s">
        <v>118</v>
      </c>
      <c r="D17" s="10" t="s">
        <v>89</v>
      </c>
      <c r="E17" t="s">
        <v>275</v>
      </c>
      <c r="F17" s="10" t="s">
        <v>290</v>
      </c>
      <c r="G17" s="10" t="s">
        <v>287</v>
      </c>
    </row>
    <row r="18" spans="2:7" ht="28.8" x14ac:dyDescent="0.3">
      <c r="B18" s="53" t="s">
        <v>72</v>
      </c>
      <c r="C18" s="25" t="s">
        <v>119</v>
      </c>
      <c r="D18" s="10" t="s">
        <v>89</v>
      </c>
      <c r="E18" t="s">
        <v>276</v>
      </c>
      <c r="F18" s="24" t="s">
        <v>292</v>
      </c>
      <c r="G18" s="10" t="s">
        <v>287</v>
      </c>
    </row>
    <row r="19" spans="2:7" x14ac:dyDescent="0.3">
      <c r="B19" t="s">
        <v>73</v>
      </c>
      <c r="C19" s="25" t="s">
        <v>93</v>
      </c>
      <c r="D19" s="10" t="s">
        <v>89</v>
      </c>
      <c r="E19" s="53" t="s">
        <v>277</v>
      </c>
      <c r="F19" s="10" t="s">
        <v>294</v>
      </c>
      <c r="G19" s="10" t="s">
        <v>287</v>
      </c>
    </row>
    <row r="20" spans="2:7" x14ac:dyDescent="0.3">
      <c r="B20" t="s">
        <v>74</v>
      </c>
      <c r="C20" s="25" t="s">
        <v>94</v>
      </c>
      <c r="D20" s="10" t="s">
        <v>95</v>
      </c>
      <c r="E20" t="s">
        <v>278</v>
      </c>
      <c r="F20" s="10" t="s">
        <v>295</v>
      </c>
      <c r="G20" s="10" t="s">
        <v>200</v>
      </c>
    </row>
    <row r="21" spans="2:7" ht="28.8" x14ac:dyDescent="0.3">
      <c r="B21" t="s">
        <v>75</v>
      </c>
      <c r="C21" s="26" t="s">
        <v>120</v>
      </c>
      <c r="D21" s="10" t="s">
        <v>95</v>
      </c>
      <c r="E21" t="s">
        <v>279</v>
      </c>
      <c r="F21" s="10" t="s">
        <v>293</v>
      </c>
      <c r="G21" s="10" t="s">
        <v>287</v>
      </c>
    </row>
    <row r="22" spans="2:7" x14ac:dyDescent="0.3">
      <c r="B22" t="s">
        <v>76</v>
      </c>
      <c r="C22" s="25" t="s">
        <v>121</v>
      </c>
      <c r="D22" s="10" t="s">
        <v>95</v>
      </c>
      <c r="E22" t="s">
        <v>280</v>
      </c>
      <c r="F22" s="10" t="s">
        <v>296</v>
      </c>
      <c r="G22" s="10" t="s">
        <v>287</v>
      </c>
    </row>
    <row r="23" spans="2:7" x14ac:dyDescent="0.3">
      <c r="B23" t="s">
        <v>77</v>
      </c>
      <c r="C23" s="25" t="s">
        <v>96</v>
      </c>
      <c r="D23" s="10" t="s">
        <v>95</v>
      </c>
      <c r="E23" t="s">
        <v>270</v>
      </c>
      <c r="F23" s="10" t="s">
        <v>297</v>
      </c>
      <c r="G23" s="10" t="s">
        <v>287</v>
      </c>
    </row>
    <row r="24" spans="2:7" x14ac:dyDescent="0.3">
      <c r="B24" t="s">
        <v>78</v>
      </c>
      <c r="C24" s="26" t="s">
        <v>97</v>
      </c>
      <c r="D24" s="10" t="s">
        <v>287</v>
      </c>
      <c r="E24" s="53" t="s">
        <v>271</v>
      </c>
      <c r="F24" s="10" t="s">
        <v>298</v>
      </c>
      <c r="G24" s="10" t="s">
        <v>287</v>
      </c>
    </row>
    <row r="25" spans="2:7" ht="28.8" x14ac:dyDescent="0.3">
      <c r="B25" t="s">
        <v>79</v>
      </c>
      <c r="C25" s="25" t="s">
        <v>122</v>
      </c>
      <c r="D25" s="10" t="s">
        <v>95</v>
      </c>
      <c r="E25" s="53" t="s">
        <v>281</v>
      </c>
      <c r="F25" s="10" t="s">
        <v>237</v>
      </c>
      <c r="G25" s="10" t="s">
        <v>287</v>
      </c>
    </row>
    <row r="26" spans="2:7" x14ac:dyDescent="0.3">
      <c r="B26" s="53" t="s">
        <v>80</v>
      </c>
      <c r="C26" s="25" t="s">
        <v>98</v>
      </c>
      <c r="D26" s="10" t="s">
        <v>95</v>
      </c>
      <c r="E26" t="s">
        <v>282</v>
      </c>
      <c r="F26" s="10" t="s">
        <v>299</v>
      </c>
      <c r="G26" s="10" t="s">
        <v>287</v>
      </c>
    </row>
    <row r="27" spans="2:7" x14ac:dyDescent="0.3">
      <c r="B27" t="s">
        <v>81</v>
      </c>
      <c r="C27" s="26" t="s">
        <v>103</v>
      </c>
      <c r="D27" s="10" t="s">
        <v>95</v>
      </c>
      <c r="E27" t="s">
        <v>283</v>
      </c>
      <c r="F27" s="10" t="s">
        <v>300</v>
      </c>
      <c r="G27" s="10" t="s">
        <v>287</v>
      </c>
    </row>
    <row r="28" spans="2:7" x14ac:dyDescent="0.3">
      <c r="B28" t="s">
        <v>104</v>
      </c>
      <c r="C28" s="25" t="s">
        <v>106</v>
      </c>
      <c r="D28" s="10" t="s">
        <v>95</v>
      </c>
      <c r="E28" s="53" t="s">
        <v>284</v>
      </c>
      <c r="F28" s="10" t="s">
        <v>301</v>
      </c>
      <c r="G28" s="10" t="s">
        <v>287</v>
      </c>
    </row>
    <row r="29" spans="2:7" x14ac:dyDescent="0.3">
      <c r="B29" s="53" t="s">
        <v>105</v>
      </c>
      <c r="C29" s="25" t="s">
        <v>107</v>
      </c>
      <c r="D29" s="10" t="s">
        <v>89</v>
      </c>
      <c r="E29" s="53" t="s">
        <v>285</v>
      </c>
      <c r="F29" s="10" t="s">
        <v>302</v>
      </c>
      <c r="G29" s="10"/>
    </row>
    <row r="30" spans="2:7" x14ac:dyDescent="0.3">
      <c r="B30" t="s">
        <v>108</v>
      </c>
      <c r="C30" s="25" t="s">
        <v>109</v>
      </c>
      <c r="D30" s="10" t="s">
        <v>95</v>
      </c>
    </row>
    <row r="31" spans="2:7" x14ac:dyDescent="0.3">
      <c r="B31" t="s">
        <v>110</v>
      </c>
      <c r="C31" s="25" t="s">
        <v>123</v>
      </c>
      <c r="D31" s="10" t="s">
        <v>95</v>
      </c>
      <c r="E31" s="53"/>
      <c r="F31" s="10" t="s">
        <v>305</v>
      </c>
    </row>
    <row r="32" spans="2:7" x14ac:dyDescent="0.3">
      <c r="B32" s="53" t="s">
        <v>127</v>
      </c>
      <c r="C32" s="25" t="s">
        <v>128</v>
      </c>
      <c r="D32" s="10" t="s">
        <v>95</v>
      </c>
      <c r="E32" s="54"/>
      <c r="F32" s="10" t="s">
        <v>304</v>
      </c>
    </row>
    <row r="33" spans="2:6" ht="28.8" x14ac:dyDescent="0.3">
      <c r="B33" t="s">
        <v>129</v>
      </c>
      <c r="C33" s="26" t="s">
        <v>130</v>
      </c>
      <c r="D33" s="10" t="s">
        <v>95</v>
      </c>
      <c r="E33" s="55"/>
      <c r="F33" s="10" t="s">
        <v>306</v>
      </c>
    </row>
    <row r="34" spans="2:6" x14ac:dyDescent="0.3">
      <c r="B34" t="s">
        <v>133</v>
      </c>
      <c r="C34" s="25" t="s">
        <v>134</v>
      </c>
      <c r="D34" s="10" t="s">
        <v>95</v>
      </c>
      <c r="E34" s="56"/>
      <c r="F34" s="10" t="s">
        <v>307</v>
      </c>
    </row>
    <row r="35" spans="2:6" x14ac:dyDescent="0.3">
      <c r="B35" s="53" t="s">
        <v>135</v>
      </c>
      <c r="C35" s="25" t="s">
        <v>136</v>
      </c>
      <c r="D35" s="10" t="s">
        <v>95</v>
      </c>
    </row>
    <row r="36" spans="2:6" x14ac:dyDescent="0.3">
      <c r="B36" t="s">
        <v>176</v>
      </c>
      <c r="C36" s="26" t="s">
        <v>188</v>
      </c>
      <c r="D36" s="10" t="s">
        <v>200</v>
      </c>
    </row>
  </sheetData>
  <phoneticPr fontId="18" type="noConversion"/>
  <pageMargins left="0.25" right="0.25"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601D1-CBC6-46CF-B980-5D9153DF866C}">
  <dimension ref="A1:AL67"/>
  <sheetViews>
    <sheetView zoomScale="70" zoomScaleNormal="70" workbookViewId="0">
      <pane ySplit="1" topLeftCell="A35" activePane="bottomLeft" state="frozen"/>
      <selection pane="bottomLeft" activeCell="C43" sqref="C43:H43"/>
    </sheetView>
  </sheetViews>
  <sheetFormatPr defaultRowHeight="14.4" x14ac:dyDescent="0.3"/>
  <cols>
    <col min="1" max="1" width="21.44140625" customWidth="1"/>
    <col min="2" max="2" width="12.33203125" customWidth="1"/>
    <col min="4" max="15" width="9.33203125" customWidth="1"/>
  </cols>
  <sheetData>
    <row r="1" spans="1:38" x14ac:dyDescent="0.3">
      <c r="C1" s="30" t="s">
        <v>25</v>
      </c>
      <c r="D1" s="30"/>
      <c r="E1" s="30"/>
      <c r="F1" s="30" t="s">
        <v>26</v>
      </c>
      <c r="G1" s="30"/>
      <c r="H1" s="30"/>
      <c r="I1" s="30" t="s">
        <v>27</v>
      </c>
      <c r="J1" s="30"/>
      <c r="K1" s="30"/>
      <c r="L1" s="30" t="s">
        <v>28</v>
      </c>
      <c r="M1" s="30"/>
      <c r="N1" s="30"/>
      <c r="O1" s="30" t="s">
        <v>29</v>
      </c>
      <c r="P1" s="30"/>
      <c r="Q1" s="30"/>
      <c r="R1" s="30" t="s">
        <v>30</v>
      </c>
      <c r="S1" s="30"/>
      <c r="T1" s="30"/>
      <c r="U1" s="30" t="s">
        <v>31</v>
      </c>
      <c r="V1" s="30"/>
      <c r="W1" s="30"/>
      <c r="X1" s="30" t="s">
        <v>32</v>
      </c>
      <c r="Y1" s="30"/>
      <c r="Z1" s="30"/>
      <c r="AA1" s="30" t="s">
        <v>33</v>
      </c>
      <c r="AB1" s="30"/>
      <c r="AC1" s="30"/>
      <c r="AD1" s="30" t="s">
        <v>34</v>
      </c>
      <c r="AE1" s="30"/>
      <c r="AF1" s="30"/>
      <c r="AG1" s="30" t="s">
        <v>35</v>
      </c>
      <c r="AH1" s="30"/>
      <c r="AI1" s="30"/>
      <c r="AJ1" s="30" t="s">
        <v>36</v>
      </c>
      <c r="AK1" s="30"/>
      <c r="AL1" s="30"/>
    </row>
    <row r="2" spans="1:38" x14ac:dyDescent="0.3">
      <c r="A2" s="29" t="str">
        <f>'Seed Inventory'!C4</f>
        <v>Lavender</v>
      </c>
      <c r="B2" t="s">
        <v>9</v>
      </c>
      <c r="D2" s="3"/>
      <c r="E2" s="3"/>
      <c r="F2" s="3"/>
      <c r="G2" s="4"/>
      <c r="H2" s="4"/>
      <c r="I2" s="4"/>
      <c r="J2" s="4"/>
      <c r="K2" s="4"/>
      <c r="L2" s="4"/>
      <c r="M2" s="3"/>
      <c r="N2" s="3"/>
      <c r="O2" s="3"/>
      <c r="P2" s="3"/>
      <c r="Q2" s="3"/>
      <c r="R2" s="3"/>
      <c r="S2" s="3"/>
      <c r="T2" s="3"/>
      <c r="U2" s="3"/>
      <c r="V2" s="3"/>
      <c r="W2" s="3"/>
      <c r="X2" s="3"/>
      <c r="Y2" s="3"/>
      <c r="Z2" s="3"/>
      <c r="AA2" s="3"/>
      <c r="AB2" s="3"/>
      <c r="AC2" s="3"/>
      <c r="AD2" s="3"/>
      <c r="AE2" s="3"/>
      <c r="AF2" s="3"/>
      <c r="AG2" s="3"/>
      <c r="AH2" s="3"/>
      <c r="AI2" s="3"/>
      <c r="AJ2" s="3"/>
      <c r="AK2" s="3"/>
      <c r="AL2" s="3"/>
    </row>
    <row r="3" spans="1:38" x14ac:dyDescent="0.3">
      <c r="A3" s="28"/>
      <c r="B3" t="s">
        <v>38</v>
      </c>
      <c r="D3" s="3"/>
      <c r="E3" s="3"/>
      <c r="F3" s="3"/>
      <c r="G3" s="3"/>
      <c r="H3" s="3"/>
      <c r="I3" s="3"/>
      <c r="J3" s="3"/>
      <c r="K3" s="3"/>
      <c r="L3" s="3"/>
      <c r="M3" s="5"/>
      <c r="N3" s="5"/>
      <c r="O3" s="5"/>
      <c r="P3" s="5"/>
      <c r="Q3" s="5"/>
      <c r="R3" s="5"/>
      <c r="S3" s="5"/>
      <c r="T3" s="5"/>
      <c r="U3" s="5"/>
      <c r="V3" s="5"/>
      <c r="W3" s="5"/>
      <c r="X3" s="5"/>
      <c r="Y3" s="5"/>
      <c r="Z3" s="5"/>
      <c r="AA3" s="5"/>
      <c r="AB3" s="5"/>
      <c r="AC3" s="5"/>
      <c r="AD3" s="5"/>
      <c r="AE3" s="5"/>
      <c r="AF3" s="5"/>
      <c r="AG3" s="3"/>
      <c r="AH3" s="3"/>
      <c r="AI3" s="3"/>
      <c r="AJ3" s="3"/>
      <c r="AK3" s="3"/>
      <c r="AL3" s="3"/>
    </row>
    <row r="4" spans="1:38" x14ac:dyDescent="0.3">
      <c r="A4" s="28"/>
      <c r="B4" t="s">
        <v>4</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row>
    <row r="5" spans="1:38" x14ac:dyDescent="0.3">
      <c r="A5" s="29" t="str">
        <f>'Seed Inventory'!C8</f>
        <v>Tomato, Black Cherry, Heirloom</v>
      </c>
      <c r="B5" t="s">
        <v>9</v>
      </c>
      <c r="D5" s="3"/>
      <c r="E5" s="3"/>
      <c r="F5" s="3"/>
      <c r="G5" s="4"/>
      <c r="H5" s="4"/>
      <c r="I5" s="4"/>
      <c r="J5" s="4"/>
      <c r="K5" s="4"/>
      <c r="L5" s="4"/>
      <c r="M5" s="4"/>
      <c r="N5" s="4"/>
      <c r="O5" s="3"/>
      <c r="P5" s="3"/>
      <c r="Q5" s="3"/>
      <c r="R5" s="3"/>
      <c r="S5" s="3"/>
      <c r="T5" s="3"/>
      <c r="U5" s="3"/>
      <c r="V5" s="3"/>
      <c r="W5" s="3"/>
      <c r="X5" s="3"/>
      <c r="Y5" s="3"/>
      <c r="Z5" s="3"/>
      <c r="AA5" s="3"/>
      <c r="AB5" s="3"/>
      <c r="AC5" s="3"/>
      <c r="AD5" s="3"/>
      <c r="AE5" s="3"/>
      <c r="AF5" s="3"/>
      <c r="AG5" s="3"/>
      <c r="AH5" s="3"/>
      <c r="AI5" s="3"/>
      <c r="AJ5" s="3"/>
      <c r="AK5" s="3"/>
      <c r="AL5" s="3"/>
    </row>
    <row r="6" spans="1:38" x14ac:dyDescent="0.3">
      <c r="A6" s="28"/>
      <c r="B6" t="s">
        <v>38</v>
      </c>
      <c r="D6" s="3"/>
      <c r="E6" s="3"/>
      <c r="F6" s="3"/>
      <c r="G6" s="3"/>
      <c r="H6" s="3"/>
      <c r="I6" s="3"/>
      <c r="J6" s="3"/>
      <c r="K6" s="3"/>
      <c r="L6" s="3"/>
      <c r="M6" s="3"/>
      <c r="N6" s="3"/>
      <c r="O6" s="5"/>
      <c r="P6" s="5"/>
      <c r="Q6" s="5"/>
      <c r="R6" s="5"/>
      <c r="S6" s="5"/>
      <c r="T6" s="5"/>
      <c r="U6" s="5"/>
      <c r="V6" s="3"/>
      <c r="W6" s="3"/>
      <c r="X6" s="3"/>
      <c r="Y6" s="3"/>
      <c r="Z6" s="3"/>
      <c r="AA6" s="3"/>
      <c r="AB6" s="3"/>
      <c r="AC6" s="3"/>
      <c r="AD6" s="3"/>
      <c r="AE6" s="3"/>
      <c r="AF6" s="3"/>
      <c r="AG6" s="3"/>
      <c r="AH6" s="3"/>
      <c r="AI6" s="3"/>
      <c r="AJ6" s="3"/>
      <c r="AK6" s="3"/>
      <c r="AL6" s="3"/>
    </row>
    <row r="7" spans="1:38" x14ac:dyDescent="0.3">
      <c r="A7" s="28"/>
      <c r="B7" t="s">
        <v>4</v>
      </c>
      <c r="D7" s="3"/>
      <c r="E7" s="3"/>
      <c r="F7" s="3"/>
      <c r="G7" s="3"/>
      <c r="H7" s="3"/>
      <c r="I7" s="3"/>
      <c r="J7" s="3"/>
      <c r="K7" s="3"/>
      <c r="L7" s="3"/>
      <c r="M7" s="3"/>
      <c r="N7" s="3"/>
      <c r="O7" s="3"/>
      <c r="P7" s="3"/>
      <c r="Q7" s="3"/>
      <c r="R7" s="3"/>
      <c r="S7" s="3"/>
      <c r="T7" s="3"/>
      <c r="U7" s="3"/>
      <c r="V7" s="8"/>
      <c r="W7" s="8"/>
      <c r="X7" s="8"/>
      <c r="Y7" s="8"/>
      <c r="Z7" s="8"/>
      <c r="AA7" s="8"/>
      <c r="AB7" s="8"/>
      <c r="AC7" s="8"/>
      <c r="AD7" s="8"/>
      <c r="AE7" s="8"/>
      <c r="AF7" s="8"/>
      <c r="AG7" s="3"/>
      <c r="AH7" s="3"/>
      <c r="AI7" s="3"/>
      <c r="AJ7" s="3"/>
      <c r="AK7" s="3"/>
      <c r="AL7" s="3"/>
    </row>
    <row r="8" spans="1:38" x14ac:dyDescent="0.3">
      <c r="A8" s="29" t="str">
        <f>'Seed Inventory'!C3</f>
        <v>Early Jalapeno, Heirloom</v>
      </c>
      <c r="B8" t="s">
        <v>9</v>
      </c>
      <c r="D8" s="3"/>
      <c r="E8" s="3"/>
      <c r="F8" s="3"/>
      <c r="G8" s="4"/>
      <c r="H8" s="4"/>
      <c r="I8" s="4"/>
      <c r="J8" s="4"/>
      <c r="K8" s="4"/>
      <c r="L8" s="4"/>
      <c r="M8" s="4"/>
      <c r="N8" s="4"/>
      <c r="O8" s="4"/>
      <c r="P8" s="4"/>
      <c r="Q8" s="4"/>
      <c r="S8" s="3"/>
      <c r="T8" s="3"/>
      <c r="U8" s="3"/>
      <c r="V8" s="3"/>
      <c r="W8" s="3"/>
      <c r="X8" s="3"/>
      <c r="Y8" s="3"/>
      <c r="Z8" s="3"/>
      <c r="AA8" s="3"/>
      <c r="AB8" s="3"/>
      <c r="AC8" s="3"/>
      <c r="AD8" s="3"/>
      <c r="AE8" s="3"/>
      <c r="AF8" s="3"/>
      <c r="AG8" s="3"/>
      <c r="AH8" s="3"/>
      <c r="AI8" s="3"/>
      <c r="AJ8" s="3"/>
      <c r="AK8" s="3"/>
      <c r="AL8" s="3"/>
    </row>
    <row r="9" spans="1:38" x14ac:dyDescent="0.3">
      <c r="A9" s="28"/>
      <c r="B9" t="s">
        <v>38</v>
      </c>
      <c r="D9" s="3"/>
      <c r="E9" s="3"/>
      <c r="F9" s="3"/>
      <c r="G9" s="3"/>
      <c r="H9" s="3"/>
      <c r="I9" s="3"/>
      <c r="J9" s="3"/>
      <c r="K9" s="3"/>
      <c r="L9" s="3"/>
      <c r="M9" s="3"/>
      <c r="N9" s="3"/>
      <c r="O9" s="3"/>
      <c r="P9" s="3"/>
      <c r="Q9" s="3"/>
      <c r="R9" s="7"/>
      <c r="S9" s="7"/>
      <c r="T9" s="7"/>
      <c r="U9" s="7"/>
      <c r="V9" s="7"/>
      <c r="W9" s="3"/>
      <c r="X9" s="3"/>
      <c r="Y9" s="3"/>
      <c r="Z9" s="3"/>
      <c r="AA9" s="3"/>
      <c r="AB9" s="3"/>
      <c r="AC9" s="3"/>
      <c r="AD9" s="3"/>
      <c r="AE9" s="3"/>
      <c r="AF9" s="3"/>
      <c r="AG9" s="3"/>
      <c r="AH9" s="3"/>
      <c r="AI9" s="3"/>
      <c r="AJ9" s="3"/>
      <c r="AK9" s="3"/>
      <c r="AL9" s="3"/>
    </row>
    <row r="10" spans="1:38" x14ac:dyDescent="0.3">
      <c r="A10" s="28"/>
      <c r="B10" t="s">
        <v>4</v>
      </c>
      <c r="D10" s="3"/>
      <c r="E10" s="3"/>
      <c r="F10" s="3"/>
      <c r="G10" s="3"/>
      <c r="H10" s="3"/>
      <c r="I10" s="3"/>
      <c r="J10" s="3"/>
      <c r="K10" s="3"/>
      <c r="L10" s="3"/>
      <c r="M10" s="3"/>
      <c r="N10" s="3"/>
      <c r="O10" s="3"/>
      <c r="P10" s="3"/>
      <c r="Q10" s="3"/>
      <c r="S10" s="3"/>
      <c r="T10" s="3"/>
      <c r="U10" s="3"/>
      <c r="V10" s="3"/>
      <c r="W10" s="8"/>
      <c r="X10" s="8"/>
      <c r="Y10" s="8"/>
      <c r="Z10" s="8"/>
      <c r="AA10" s="8"/>
      <c r="AB10" s="8"/>
      <c r="AC10" s="8"/>
      <c r="AD10" s="8"/>
      <c r="AE10" s="8"/>
      <c r="AF10" s="8"/>
      <c r="AG10" s="3"/>
      <c r="AH10" s="3"/>
      <c r="AI10" s="3"/>
      <c r="AJ10" s="3"/>
      <c r="AK10" s="3"/>
      <c r="AL10" s="3"/>
    </row>
    <row r="11" spans="1:38" x14ac:dyDescent="0.3">
      <c r="A11" s="29" t="str">
        <f>'Seed Inventory'!C5</f>
        <v>Italian Pepperoncini Hot Pepper</v>
      </c>
      <c r="B11" t="s">
        <v>9</v>
      </c>
      <c r="D11" s="3"/>
      <c r="E11" s="3"/>
      <c r="F11" s="3"/>
      <c r="G11" s="4"/>
      <c r="H11" s="4"/>
      <c r="I11" s="4"/>
      <c r="J11" s="4"/>
      <c r="K11" s="4"/>
      <c r="L11" s="4"/>
      <c r="M11" s="4"/>
      <c r="N11" s="4"/>
      <c r="O11" s="4"/>
      <c r="P11" s="4"/>
      <c r="Q11" s="4"/>
      <c r="S11" s="3"/>
      <c r="T11" s="3"/>
      <c r="U11" s="3"/>
      <c r="V11" s="3"/>
      <c r="W11" s="3"/>
      <c r="X11" s="3"/>
      <c r="Y11" s="3"/>
      <c r="Z11" s="3"/>
      <c r="AA11" s="3"/>
      <c r="AB11" s="3"/>
      <c r="AC11" s="3"/>
      <c r="AD11" s="3"/>
      <c r="AE11" s="3"/>
      <c r="AF11" s="3"/>
      <c r="AG11" s="3"/>
      <c r="AH11" s="3"/>
      <c r="AI11" s="3"/>
      <c r="AJ11" s="3"/>
      <c r="AK11" s="3"/>
      <c r="AL11" s="3"/>
    </row>
    <row r="12" spans="1:38" x14ac:dyDescent="0.3">
      <c r="A12" s="28"/>
      <c r="B12" t="s">
        <v>38</v>
      </c>
      <c r="D12" s="3"/>
      <c r="E12" s="3"/>
      <c r="F12" s="3"/>
      <c r="G12" s="3"/>
      <c r="H12" s="3"/>
      <c r="I12" s="3"/>
      <c r="J12" s="3"/>
      <c r="K12" s="3"/>
      <c r="L12" s="3"/>
      <c r="M12" s="3"/>
      <c r="N12" s="3"/>
      <c r="O12" s="3"/>
      <c r="P12" s="3"/>
      <c r="Q12" s="3"/>
      <c r="R12" s="7"/>
      <c r="S12" s="7"/>
      <c r="T12" s="7"/>
      <c r="U12" s="7"/>
      <c r="V12" s="7"/>
      <c r="W12" s="3"/>
      <c r="X12" s="3"/>
      <c r="Y12" s="3"/>
      <c r="Z12" s="3"/>
      <c r="AA12" s="3"/>
      <c r="AB12" s="3"/>
      <c r="AC12" s="3"/>
      <c r="AD12" s="3"/>
      <c r="AE12" s="3"/>
      <c r="AF12" s="3"/>
      <c r="AG12" s="3"/>
      <c r="AH12" s="3"/>
      <c r="AI12" s="3"/>
      <c r="AJ12" s="3"/>
      <c r="AK12" s="3"/>
      <c r="AL12" s="3"/>
    </row>
    <row r="13" spans="1:38" x14ac:dyDescent="0.3">
      <c r="A13" s="28"/>
      <c r="B13" t="s">
        <v>4</v>
      </c>
      <c r="D13" s="3"/>
      <c r="E13" s="3"/>
      <c r="F13" s="3"/>
      <c r="G13" s="3"/>
      <c r="H13" s="3"/>
      <c r="I13" s="3"/>
      <c r="J13" s="3"/>
      <c r="K13" s="3"/>
      <c r="L13" s="3"/>
      <c r="M13" s="3"/>
      <c r="N13" s="3"/>
      <c r="O13" s="3"/>
      <c r="P13" s="3"/>
      <c r="Q13" s="3"/>
      <c r="S13" s="3"/>
      <c r="T13" s="3"/>
      <c r="U13" s="3"/>
      <c r="V13" s="3"/>
      <c r="W13" s="8"/>
      <c r="X13" s="8"/>
      <c r="Y13" s="8"/>
      <c r="Z13" s="8"/>
      <c r="AA13" s="8"/>
      <c r="AB13" s="8"/>
      <c r="AC13" s="8"/>
      <c r="AD13" s="8"/>
      <c r="AE13" s="8"/>
      <c r="AF13" s="8"/>
      <c r="AG13" s="3"/>
      <c r="AH13" s="3"/>
      <c r="AI13" s="3"/>
      <c r="AJ13" s="3"/>
      <c r="AK13" s="3"/>
      <c r="AL13" s="3"/>
    </row>
    <row r="14" spans="1:38" x14ac:dyDescent="0.3">
      <c r="A14" s="29" t="str">
        <f>'Seed Inventory'!C2</f>
        <v>Anaheim Hot Pepper, Heirloom</v>
      </c>
      <c r="B14" t="s">
        <v>9</v>
      </c>
      <c r="D14" s="3"/>
      <c r="E14" s="3"/>
      <c r="F14" s="3"/>
      <c r="G14" s="4"/>
      <c r="H14" s="4"/>
      <c r="I14" s="4"/>
      <c r="J14" s="4"/>
      <c r="K14" s="4"/>
      <c r="L14" s="4"/>
      <c r="M14" s="4"/>
      <c r="N14" s="4"/>
      <c r="O14" s="4"/>
      <c r="P14" s="4"/>
      <c r="Q14" s="4"/>
      <c r="S14" s="3"/>
      <c r="T14" s="3"/>
      <c r="U14" s="3"/>
      <c r="V14" s="3"/>
      <c r="W14" s="3"/>
      <c r="X14" s="3"/>
      <c r="Y14" s="3"/>
      <c r="Z14" s="3"/>
      <c r="AA14" s="3"/>
      <c r="AB14" s="3"/>
      <c r="AC14" s="3"/>
      <c r="AD14" s="3"/>
      <c r="AE14" s="3"/>
      <c r="AF14" s="3"/>
      <c r="AG14" s="3"/>
      <c r="AH14" s="3"/>
      <c r="AI14" s="3"/>
      <c r="AJ14" s="3"/>
      <c r="AK14" s="3"/>
      <c r="AL14" s="3"/>
    </row>
    <row r="15" spans="1:38" x14ac:dyDescent="0.3">
      <c r="A15" s="28"/>
      <c r="B15" t="s">
        <v>38</v>
      </c>
      <c r="D15" s="3"/>
      <c r="E15" s="3"/>
      <c r="F15" s="3"/>
      <c r="G15" s="3"/>
      <c r="H15" s="3"/>
      <c r="I15" s="3"/>
      <c r="J15" s="3"/>
      <c r="K15" s="3"/>
      <c r="L15" s="3"/>
      <c r="M15" s="3"/>
      <c r="N15" s="3"/>
      <c r="O15" s="3"/>
      <c r="P15" s="3"/>
      <c r="Q15" s="3"/>
      <c r="R15" s="5"/>
      <c r="S15" s="5"/>
      <c r="T15" s="5"/>
      <c r="U15" s="5"/>
      <c r="V15" s="5"/>
      <c r="W15" s="3"/>
      <c r="X15" s="3"/>
      <c r="Y15" s="3"/>
      <c r="Z15" s="3"/>
      <c r="AA15" s="3"/>
      <c r="AB15" s="3"/>
      <c r="AC15" s="3"/>
      <c r="AD15" s="3"/>
      <c r="AE15" s="3"/>
      <c r="AF15" s="3"/>
      <c r="AG15" s="3"/>
      <c r="AH15" s="3"/>
      <c r="AI15" s="3"/>
      <c r="AJ15" s="3"/>
      <c r="AK15" s="3"/>
      <c r="AL15" s="3"/>
    </row>
    <row r="16" spans="1:38" x14ac:dyDescent="0.3">
      <c r="A16" s="28"/>
      <c r="B16" t="s">
        <v>4</v>
      </c>
      <c r="D16" s="3"/>
      <c r="E16" s="3"/>
      <c r="F16" s="3"/>
      <c r="G16" s="3"/>
      <c r="H16" s="3"/>
      <c r="I16" s="3"/>
      <c r="J16" s="3"/>
      <c r="K16" s="3"/>
      <c r="L16" s="3"/>
      <c r="M16" s="3"/>
      <c r="N16" s="3"/>
      <c r="O16" s="3"/>
      <c r="P16" s="3"/>
      <c r="Q16" s="3"/>
      <c r="R16" s="3"/>
      <c r="S16" s="3"/>
      <c r="T16" s="3"/>
      <c r="U16" s="3"/>
      <c r="V16" s="3"/>
      <c r="W16" s="8"/>
      <c r="X16" s="8"/>
      <c r="Y16" s="8"/>
      <c r="Z16" s="8"/>
      <c r="AA16" s="8"/>
      <c r="AB16" s="8"/>
      <c r="AC16" s="8"/>
      <c r="AD16" s="8"/>
      <c r="AE16" s="8"/>
      <c r="AF16" s="8"/>
      <c r="AG16" s="3"/>
      <c r="AH16" s="3"/>
      <c r="AI16" s="3"/>
      <c r="AJ16" s="3"/>
      <c r="AK16" s="3"/>
      <c r="AL16" s="3"/>
    </row>
    <row r="17" spans="1:38" x14ac:dyDescent="0.3">
      <c r="A17" s="29" t="str">
        <f>'Seed Inventory'!C23</f>
        <v>Tomato, Roma</v>
      </c>
      <c r="B17" t="s">
        <v>9</v>
      </c>
      <c r="D17" s="3"/>
      <c r="E17" s="3"/>
      <c r="F17" s="3"/>
      <c r="G17" s="3"/>
      <c r="H17" s="3"/>
      <c r="I17" s="4"/>
      <c r="J17" s="4"/>
      <c r="K17" s="4"/>
      <c r="L17" s="4"/>
      <c r="M17" s="4"/>
      <c r="N17" s="3"/>
      <c r="O17" s="3"/>
      <c r="P17" s="3"/>
      <c r="Q17" s="3"/>
      <c r="R17" s="3"/>
      <c r="S17" s="3"/>
      <c r="T17" s="3"/>
      <c r="U17" s="3"/>
      <c r="V17" s="3"/>
      <c r="W17" s="3"/>
      <c r="X17" s="3"/>
      <c r="Y17" s="3"/>
      <c r="Z17" s="3"/>
      <c r="AA17" s="3"/>
      <c r="AB17" s="3"/>
      <c r="AC17" s="3"/>
      <c r="AD17" s="3"/>
      <c r="AE17" s="3"/>
      <c r="AF17" s="3"/>
      <c r="AG17" s="3"/>
      <c r="AH17" s="3"/>
      <c r="AI17" s="3"/>
      <c r="AJ17" s="3"/>
      <c r="AK17" s="3"/>
      <c r="AL17" s="3"/>
    </row>
    <row r="18" spans="1:38" x14ac:dyDescent="0.3">
      <c r="A18" s="28"/>
      <c r="B18" t="s">
        <v>38</v>
      </c>
      <c r="D18" s="3"/>
      <c r="E18" s="3"/>
      <c r="F18" s="3"/>
      <c r="G18" s="3"/>
      <c r="H18" s="3"/>
      <c r="I18" s="3"/>
      <c r="J18" s="3"/>
      <c r="K18" s="3"/>
      <c r="L18" s="3"/>
      <c r="M18" s="5"/>
      <c r="N18" s="5"/>
      <c r="O18" s="5"/>
      <c r="P18" s="5"/>
      <c r="Q18" s="5"/>
      <c r="R18" s="5"/>
      <c r="S18" s="5"/>
      <c r="T18" s="5"/>
      <c r="U18" s="3"/>
      <c r="V18" s="3"/>
      <c r="W18" s="3"/>
      <c r="X18" s="3"/>
      <c r="Y18" s="3"/>
      <c r="Z18" s="3"/>
      <c r="AA18" s="3"/>
      <c r="AB18" s="3"/>
      <c r="AC18" s="3"/>
      <c r="AD18" s="3"/>
      <c r="AE18" s="3"/>
      <c r="AF18" s="3"/>
      <c r="AG18" s="3"/>
      <c r="AH18" s="3"/>
      <c r="AI18" s="3"/>
      <c r="AJ18" s="3"/>
      <c r="AK18" s="3"/>
      <c r="AL18" s="3"/>
    </row>
    <row r="19" spans="1:38" x14ac:dyDescent="0.3">
      <c r="A19" s="28"/>
      <c r="B19" t="s">
        <v>4</v>
      </c>
      <c r="D19" s="3"/>
      <c r="E19" s="3"/>
      <c r="F19" s="3"/>
      <c r="G19" s="3"/>
      <c r="H19" s="3"/>
      <c r="I19" s="3"/>
      <c r="J19" s="3"/>
      <c r="K19" s="3"/>
      <c r="L19" s="3"/>
      <c r="M19" s="3"/>
      <c r="N19" s="3"/>
      <c r="O19" s="3"/>
      <c r="P19" s="3"/>
      <c r="Q19" s="3"/>
      <c r="R19" s="3"/>
      <c r="S19" s="3"/>
      <c r="T19" s="3"/>
      <c r="U19" s="8"/>
      <c r="V19" s="8"/>
      <c r="W19" s="8"/>
      <c r="X19" s="8"/>
      <c r="Y19" s="8"/>
      <c r="Z19" s="8"/>
      <c r="AA19" s="8"/>
      <c r="AB19" s="8"/>
      <c r="AC19" s="8"/>
      <c r="AD19" s="8"/>
      <c r="AE19" s="8"/>
      <c r="AF19" s="8"/>
      <c r="AG19" s="3"/>
      <c r="AH19" s="3"/>
      <c r="AI19" s="3"/>
      <c r="AJ19" s="3"/>
      <c r="AK19" s="3"/>
      <c r="AL19" s="3"/>
    </row>
    <row r="20" spans="1:38" x14ac:dyDescent="0.3">
      <c r="A20" s="29" t="str">
        <f>'Seed Inventory'!C11</f>
        <v>Tomato, Mortgage Lifter, Heirloom</v>
      </c>
      <c r="B20" t="s">
        <v>9</v>
      </c>
      <c r="D20" s="3"/>
      <c r="E20" s="3"/>
      <c r="F20" s="3"/>
      <c r="G20" s="3"/>
      <c r="H20" s="3"/>
      <c r="I20" s="4"/>
      <c r="J20" s="4"/>
      <c r="K20" s="4"/>
      <c r="L20" s="4"/>
      <c r="M20" s="4"/>
      <c r="N20" s="3"/>
      <c r="O20" s="3"/>
      <c r="P20" s="3"/>
      <c r="Q20" s="3"/>
      <c r="R20" s="3"/>
      <c r="S20" s="3"/>
      <c r="T20" s="3"/>
      <c r="U20" s="3"/>
      <c r="V20" s="3"/>
      <c r="W20" s="3"/>
      <c r="X20" s="3"/>
      <c r="Y20" s="3"/>
      <c r="Z20" s="3"/>
      <c r="AA20" s="3"/>
      <c r="AB20" s="3"/>
      <c r="AC20" s="3"/>
      <c r="AD20" s="3"/>
      <c r="AE20" s="3"/>
      <c r="AF20" s="3"/>
      <c r="AG20" s="3"/>
      <c r="AH20" s="3"/>
      <c r="AI20" s="3"/>
      <c r="AJ20" s="3"/>
      <c r="AK20" s="3"/>
      <c r="AL20" s="3"/>
    </row>
    <row r="21" spans="1:38" x14ac:dyDescent="0.3">
      <c r="A21" s="28"/>
      <c r="B21" t="s">
        <v>38</v>
      </c>
      <c r="D21" s="3"/>
      <c r="E21" s="3"/>
      <c r="F21" s="3"/>
      <c r="G21" s="3"/>
      <c r="H21" s="3"/>
      <c r="I21" s="3"/>
      <c r="J21" s="3"/>
      <c r="K21" s="3"/>
      <c r="L21" s="3"/>
      <c r="M21" s="5"/>
      <c r="N21" s="5"/>
      <c r="O21" s="5"/>
      <c r="P21" s="5"/>
      <c r="Q21" s="5"/>
      <c r="R21" s="5"/>
      <c r="S21" s="5"/>
      <c r="T21" s="5"/>
      <c r="U21" s="3"/>
      <c r="V21" s="3"/>
      <c r="W21" s="3"/>
      <c r="X21" s="3"/>
      <c r="Y21" s="3"/>
      <c r="Z21" s="3"/>
      <c r="AA21" s="3"/>
      <c r="AB21" s="3"/>
      <c r="AC21" s="3"/>
      <c r="AD21" s="3"/>
      <c r="AE21" s="3"/>
      <c r="AF21" s="3"/>
      <c r="AG21" s="3"/>
      <c r="AH21" s="3"/>
      <c r="AI21" s="3"/>
      <c r="AJ21" s="3"/>
      <c r="AK21" s="3"/>
      <c r="AL21" s="3"/>
    </row>
    <row r="22" spans="1:38" x14ac:dyDescent="0.3">
      <c r="A22" s="28"/>
      <c r="B22" t="s">
        <v>4</v>
      </c>
      <c r="D22" s="3"/>
      <c r="E22" s="3"/>
      <c r="F22" s="3"/>
      <c r="G22" s="3"/>
      <c r="H22" s="3"/>
      <c r="I22" s="3"/>
      <c r="J22" s="3"/>
      <c r="K22" s="3"/>
      <c r="L22" s="3"/>
      <c r="M22" s="3"/>
      <c r="N22" s="3"/>
      <c r="O22" s="3"/>
      <c r="P22" s="3"/>
      <c r="Q22" s="3"/>
      <c r="R22" s="3"/>
      <c r="S22" s="3"/>
      <c r="T22" s="3"/>
      <c r="U22" s="8"/>
      <c r="V22" s="8"/>
      <c r="W22" s="8"/>
      <c r="X22" s="8"/>
      <c r="Y22" s="8"/>
      <c r="Z22" s="8"/>
      <c r="AA22" s="8"/>
      <c r="AB22" s="8"/>
      <c r="AC22" s="8"/>
      <c r="AD22" s="8"/>
      <c r="AE22" s="8"/>
      <c r="AF22" s="8"/>
      <c r="AG22" s="3"/>
      <c r="AH22" s="3"/>
      <c r="AI22" s="3"/>
      <c r="AJ22" s="3"/>
      <c r="AK22" s="3"/>
      <c r="AL22" s="3"/>
    </row>
    <row r="23" spans="1:38" x14ac:dyDescent="0.3">
      <c r="A23" s="29" t="str">
        <f>'Seed Inventory'!C7</f>
        <v>Cucumber, Pick-a-bushel Hybrid</v>
      </c>
      <c r="B23" t="s">
        <v>9</v>
      </c>
      <c r="D23" s="3"/>
      <c r="E23" s="3"/>
      <c r="F23" s="3"/>
      <c r="G23" s="3"/>
      <c r="H23" s="3"/>
      <c r="I23" s="3"/>
      <c r="J23" s="3"/>
      <c r="K23" s="3"/>
      <c r="L23" s="4"/>
      <c r="M23" s="4"/>
      <c r="N23" s="3"/>
      <c r="O23" s="3"/>
      <c r="P23" s="3"/>
      <c r="Q23" s="3"/>
      <c r="R23" s="3"/>
      <c r="S23" s="3"/>
      <c r="T23" s="3"/>
      <c r="U23" s="3"/>
      <c r="V23" s="3"/>
      <c r="W23" s="3"/>
      <c r="X23" s="3"/>
      <c r="Y23" s="3"/>
      <c r="Z23" s="3"/>
      <c r="AA23" s="3"/>
      <c r="AB23" s="3"/>
      <c r="AC23" s="3"/>
      <c r="AD23" s="3"/>
      <c r="AE23" s="3"/>
      <c r="AF23" s="3"/>
      <c r="AG23" s="3"/>
      <c r="AH23" s="3"/>
      <c r="AI23" s="3"/>
      <c r="AJ23" s="3"/>
      <c r="AK23" s="3"/>
      <c r="AL23" s="3"/>
    </row>
    <row r="24" spans="1:38" x14ac:dyDescent="0.3">
      <c r="A24" s="28"/>
      <c r="B24" t="s">
        <v>38</v>
      </c>
      <c r="D24" s="3"/>
      <c r="E24" s="3"/>
      <c r="F24" s="3"/>
      <c r="G24" s="3"/>
      <c r="H24" s="3"/>
      <c r="I24" s="3"/>
      <c r="J24" s="3"/>
      <c r="K24" s="3"/>
      <c r="L24" s="3"/>
      <c r="M24" s="5"/>
      <c r="N24" s="5"/>
      <c r="O24" s="5"/>
      <c r="P24" s="5"/>
      <c r="Q24" s="5"/>
      <c r="R24" s="5"/>
      <c r="S24" s="5"/>
      <c r="T24" s="3"/>
      <c r="U24" s="3"/>
      <c r="V24" s="3"/>
      <c r="W24" s="3"/>
      <c r="X24" s="3"/>
      <c r="Y24" s="3"/>
      <c r="Z24" s="3"/>
      <c r="AA24" s="3"/>
      <c r="AB24" s="3"/>
      <c r="AC24" s="3"/>
      <c r="AD24" s="3"/>
      <c r="AE24" s="3"/>
      <c r="AF24" s="3"/>
      <c r="AG24" s="3"/>
      <c r="AH24" s="3"/>
      <c r="AI24" s="3"/>
      <c r="AJ24" s="3"/>
      <c r="AK24" s="3"/>
      <c r="AL24" s="3"/>
    </row>
    <row r="25" spans="1:38" x14ac:dyDescent="0.3">
      <c r="A25" s="28"/>
      <c r="B25" t="s">
        <v>4</v>
      </c>
      <c r="D25" s="3"/>
      <c r="E25" s="3"/>
      <c r="F25" s="3"/>
      <c r="G25" s="3"/>
      <c r="H25" s="3"/>
      <c r="I25" s="3"/>
      <c r="J25" s="3"/>
      <c r="K25" s="3"/>
      <c r="L25" s="3"/>
      <c r="M25" s="3"/>
      <c r="N25" s="3"/>
      <c r="O25" s="3"/>
      <c r="P25" s="3"/>
      <c r="Q25" s="3"/>
      <c r="R25" s="3"/>
      <c r="S25" s="3"/>
      <c r="T25" s="8"/>
      <c r="U25" s="8"/>
      <c r="V25" s="8"/>
      <c r="W25" s="8"/>
      <c r="X25" s="8"/>
      <c r="Y25" s="8"/>
      <c r="Z25" s="8"/>
      <c r="AA25" s="8"/>
      <c r="AB25" s="8"/>
      <c r="AC25" s="8"/>
      <c r="AD25" s="8"/>
      <c r="AE25" s="8"/>
      <c r="AF25" s="8"/>
      <c r="AG25" s="3"/>
      <c r="AH25" s="3"/>
      <c r="AI25" s="3"/>
      <c r="AJ25" s="3"/>
      <c r="AK25" s="3"/>
      <c r="AL25" s="3"/>
    </row>
    <row r="26" spans="1:38" x14ac:dyDescent="0.3">
      <c r="A26" s="29" t="str">
        <f>'Seed Inventory'!C6</f>
        <v>Snow Pea, Heirloom</v>
      </c>
      <c r="B26" t="s">
        <v>9</v>
      </c>
      <c r="D26" s="3"/>
      <c r="E26" s="3"/>
      <c r="F26" s="3"/>
      <c r="G26" s="3"/>
      <c r="H26" s="3"/>
      <c r="I26" s="3"/>
      <c r="J26" s="3"/>
      <c r="K26" s="3"/>
      <c r="L26" s="4"/>
      <c r="M26" s="4"/>
      <c r="N26" s="3"/>
      <c r="O26" s="3"/>
      <c r="P26" s="3"/>
      <c r="Q26" s="3"/>
      <c r="R26" s="3"/>
      <c r="S26" s="3"/>
      <c r="T26" s="3"/>
      <c r="U26" s="3"/>
      <c r="V26" s="3"/>
      <c r="W26" s="3"/>
      <c r="X26" s="3"/>
      <c r="Y26" s="3"/>
      <c r="Z26" s="3"/>
      <c r="AA26" s="3"/>
      <c r="AB26" s="3"/>
      <c r="AC26" s="3"/>
      <c r="AD26" s="3"/>
      <c r="AE26" s="3"/>
      <c r="AF26" s="3"/>
      <c r="AG26" s="3"/>
      <c r="AH26" s="3"/>
      <c r="AI26" s="3"/>
      <c r="AJ26" s="3"/>
      <c r="AK26" s="3"/>
      <c r="AL26" s="3"/>
    </row>
    <row r="27" spans="1:38" x14ac:dyDescent="0.3">
      <c r="A27" s="28"/>
      <c r="B27" t="s">
        <v>38</v>
      </c>
      <c r="D27" s="3"/>
      <c r="E27" s="3"/>
      <c r="F27" s="3"/>
      <c r="G27" s="3"/>
      <c r="H27" s="3"/>
      <c r="I27" s="3"/>
      <c r="J27" s="3"/>
      <c r="K27" s="3"/>
      <c r="L27" s="3"/>
      <c r="M27" s="5"/>
      <c r="N27" s="5"/>
      <c r="O27" s="5"/>
      <c r="P27" s="5"/>
      <c r="Q27" s="5"/>
      <c r="R27" s="5"/>
      <c r="S27" s="5"/>
      <c r="T27" s="3"/>
      <c r="U27" s="3"/>
      <c r="V27" s="3"/>
      <c r="W27" s="3"/>
      <c r="X27" s="3"/>
      <c r="Y27" s="3"/>
      <c r="Z27" s="3"/>
      <c r="AA27" s="3"/>
      <c r="AB27" s="3"/>
      <c r="AC27" s="3"/>
      <c r="AD27" s="3"/>
      <c r="AE27" s="3"/>
      <c r="AF27" s="3"/>
      <c r="AG27" s="3"/>
      <c r="AH27" s="3"/>
      <c r="AI27" s="3"/>
      <c r="AJ27" s="3"/>
      <c r="AK27" s="3"/>
      <c r="AL27" s="3"/>
    </row>
    <row r="28" spans="1:38" x14ac:dyDescent="0.3">
      <c r="A28" s="28"/>
      <c r="B28" t="s">
        <v>4</v>
      </c>
      <c r="D28" s="3"/>
      <c r="E28" s="3"/>
      <c r="F28" s="3"/>
      <c r="G28" s="3"/>
      <c r="H28" s="3"/>
      <c r="I28" s="3"/>
      <c r="J28" s="3"/>
      <c r="K28" s="3"/>
      <c r="L28" s="3"/>
      <c r="M28" s="3"/>
      <c r="N28" s="3"/>
      <c r="O28" s="3"/>
      <c r="P28" s="3"/>
      <c r="Q28" s="3"/>
      <c r="R28" s="3"/>
      <c r="S28" s="3"/>
      <c r="T28" s="8"/>
      <c r="U28" s="8"/>
      <c r="V28" s="8"/>
      <c r="W28" s="8"/>
      <c r="X28" s="8"/>
      <c r="Y28" s="8"/>
      <c r="Z28" s="8"/>
      <c r="AA28" s="8"/>
      <c r="AB28" s="8"/>
      <c r="AC28" s="8"/>
      <c r="AD28" s="8"/>
      <c r="AE28" s="8"/>
      <c r="AF28" s="8"/>
      <c r="AG28" s="3"/>
      <c r="AH28" s="3"/>
      <c r="AI28" s="3"/>
      <c r="AJ28" s="3"/>
      <c r="AK28" s="3"/>
      <c r="AL28" s="3"/>
    </row>
    <row r="29" spans="1:38" x14ac:dyDescent="0.3">
      <c r="A29" s="29" t="str">
        <f>'Seed Inventory'!C21</f>
        <v>Pole Bean, Kentucky Wonder, Heirloom</v>
      </c>
      <c r="B29" t="s">
        <v>9</v>
      </c>
      <c r="D29" s="3"/>
      <c r="E29" s="3"/>
      <c r="F29" s="3"/>
      <c r="G29" s="3"/>
      <c r="H29" s="3"/>
      <c r="I29" s="3"/>
      <c r="J29" s="3"/>
      <c r="K29" s="3"/>
      <c r="L29" s="3"/>
      <c r="M29" s="3"/>
      <c r="N29" s="4"/>
      <c r="O29" s="4"/>
      <c r="P29" s="4"/>
      <c r="Q29" s="3"/>
      <c r="R29" s="3"/>
      <c r="S29" s="3"/>
      <c r="T29" s="3"/>
      <c r="U29" s="3"/>
      <c r="V29" s="3"/>
      <c r="W29" s="3"/>
      <c r="X29" s="3"/>
      <c r="Y29" s="3"/>
      <c r="Z29" s="3"/>
      <c r="AA29" s="3"/>
      <c r="AB29" s="3"/>
      <c r="AC29" s="3"/>
      <c r="AD29" s="3"/>
      <c r="AE29" s="3"/>
      <c r="AF29" s="3"/>
      <c r="AG29" s="3"/>
      <c r="AH29" s="3"/>
      <c r="AI29" s="3"/>
      <c r="AJ29" s="3"/>
      <c r="AK29" s="3"/>
      <c r="AL29" s="3"/>
    </row>
    <row r="30" spans="1:38" x14ac:dyDescent="0.3">
      <c r="A30" s="28"/>
      <c r="B30" t="s">
        <v>38</v>
      </c>
      <c r="D30" s="3"/>
      <c r="E30" s="3"/>
      <c r="F30" s="3"/>
      <c r="G30" s="3"/>
      <c r="H30" s="3"/>
      <c r="I30" s="3"/>
      <c r="J30" s="3"/>
      <c r="K30" s="3"/>
      <c r="L30" s="3"/>
      <c r="M30" s="3"/>
      <c r="N30" s="3"/>
      <c r="O30" s="3"/>
      <c r="P30" s="5"/>
      <c r="Q30" s="5"/>
      <c r="R30" s="5"/>
      <c r="S30" s="5"/>
      <c r="T30" s="5"/>
      <c r="U30" s="5"/>
      <c r="V30" s="5"/>
      <c r="W30" s="3"/>
      <c r="X30" s="3"/>
      <c r="Y30" s="3"/>
      <c r="Z30" s="3"/>
      <c r="AA30" s="3"/>
      <c r="AB30" s="3"/>
      <c r="AC30" s="3"/>
      <c r="AD30" s="3"/>
      <c r="AE30" s="3"/>
      <c r="AF30" s="3"/>
      <c r="AG30" s="3"/>
      <c r="AH30" s="3"/>
      <c r="AI30" s="3"/>
      <c r="AJ30" s="3"/>
      <c r="AK30" s="3"/>
      <c r="AL30" s="3"/>
    </row>
    <row r="31" spans="1:38" x14ac:dyDescent="0.3">
      <c r="A31" s="28"/>
      <c r="B31" t="s">
        <v>4</v>
      </c>
      <c r="D31" s="3"/>
      <c r="E31" s="3"/>
      <c r="F31" s="3"/>
      <c r="G31" s="3"/>
      <c r="H31" s="3"/>
      <c r="I31" s="3"/>
      <c r="J31" s="3"/>
      <c r="K31" s="3"/>
      <c r="L31" s="3"/>
      <c r="M31" s="3"/>
      <c r="N31" s="3"/>
      <c r="O31" s="3"/>
      <c r="P31" s="3"/>
      <c r="Q31" s="3"/>
      <c r="R31" s="3"/>
      <c r="S31" s="3"/>
      <c r="T31" s="3"/>
      <c r="U31" s="3"/>
      <c r="V31" s="3"/>
      <c r="W31" s="8"/>
      <c r="X31" s="8"/>
      <c r="Y31" s="8"/>
      <c r="Z31" s="8"/>
      <c r="AA31" s="8"/>
      <c r="AB31" s="8"/>
      <c r="AC31" s="8"/>
      <c r="AD31" s="8"/>
      <c r="AE31" s="8"/>
      <c r="AF31" s="8"/>
      <c r="AG31" s="3"/>
      <c r="AH31" s="3"/>
      <c r="AI31" s="3"/>
      <c r="AJ31" s="3"/>
      <c r="AK31" s="3"/>
      <c r="AL31" s="3"/>
    </row>
    <row r="32" spans="1:38" x14ac:dyDescent="0.3">
      <c r="A32" s="29" t="str">
        <f>'Seed Inventory'!C22</f>
        <v>Broccoli, De Cicco, Heirloom</v>
      </c>
      <c r="B32" t="s">
        <v>9</v>
      </c>
      <c r="D32" s="3"/>
      <c r="E32" s="3"/>
      <c r="F32" s="3"/>
      <c r="G32" s="4"/>
      <c r="H32" s="4"/>
      <c r="I32" s="4"/>
      <c r="J32" s="4"/>
      <c r="K32" s="4"/>
      <c r="L32" s="4"/>
      <c r="M32" s="4"/>
      <c r="N32" s="3"/>
      <c r="O32" s="3"/>
      <c r="P32" s="3"/>
      <c r="Q32" s="3"/>
      <c r="R32" s="3"/>
      <c r="S32" s="3"/>
      <c r="T32" s="3"/>
      <c r="U32" s="3"/>
      <c r="V32" s="3"/>
      <c r="W32" s="3"/>
      <c r="X32" s="3"/>
      <c r="Y32" s="3"/>
      <c r="Z32" s="3"/>
      <c r="AA32" s="3"/>
      <c r="AB32" s="3"/>
      <c r="AC32" s="3"/>
      <c r="AD32" s="3"/>
      <c r="AE32" s="3"/>
      <c r="AF32" s="3"/>
      <c r="AG32" s="3"/>
      <c r="AH32" s="3"/>
      <c r="AI32" s="3"/>
      <c r="AJ32" s="3"/>
      <c r="AK32" s="3"/>
      <c r="AL32" s="3"/>
    </row>
    <row r="33" spans="1:38" x14ac:dyDescent="0.3">
      <c r="A33" s="28"/>
      <c r="B33" t="s">
        <v>38</v>
      </c>
      <c r="D33" s="3"/>
      <c r="E33" s="3"/>
      <c r="F33" s="3"/>
      <c r="G33" s="3"/>
      <c r="H33" s="3"/>
      <c r="I33" s="3"/>
      <c r="J33" s="3"/>
      <c r="K33" s="3"/>
      <c r="L33" s="3"/>
      <c r="M33" s="5"/>
      <c r="N33" s="5"/>
      <c r="O33" s="5"/>
      <c r="P33" s="5"/>
      <c r="Q33" s="5"/>
      <c r="R33" s="5"/>
      <c r="S33" s="3"/>
      <c r="T33" s="3"/>
      <c r="U33" s="3"/>
      <c r="V33" s="3"/>
      <c r="W33" s="3"/>
      <c r="X33" s="3"/>
      <c r="Y33" s="3"/>
      <c r="Z33" s="3"/>
      <c r="AA33" s="3"/>
      <c r="AB33" s="3"/>
      <c r="AC33" s="3"/>
      <c r="AD33" s="5"/>
      <c r="AE33" s="5"/>
      <c r="AF33" s="5"/>
      <c r="AG33" s="5"/>
      <c r="AH33" s="5"/>
      <c r="AI33" s="5"/>
      <c r="AJ33" s="3"/>
      <c r="AK33" s="3"/>
      <c r="AL33" s="3"/>
    </row>
    <row r="34" spans="1:38" x14ac:dyDescent="0.3">
      <c r="A34" s="28"/>
      <c r="B34" t="s">
        <v>4</v>
      </c>
      <c r="C34" s="8"/>
      <c r="D34" s="8"/>
      <c r="E34" s="8"/>
      <c r="F34" s="8"/>
      <c r="G34" s="8"/>
      <c r="H34" s="8"/>
      <c r="I34" s="3"/>
      <c r="J34" s="3"/>
      <c r="K34" s="3"/>
      <c r="L34" s="3"/>
      <c r="M34" s="3"/>
      <c r="N34" s="3"/>
      <c r="O34" s="3"/>
      <c r="P34" s="3"/>
      <c r="Q34" s="3"/>
      <c r="R34" s="3"/>
      <c r="S34" s="8"/>
      <c r="T34" s="8"/>
      <c r="U34" s="8"/>
      <c r="V34" s="8"/>
      <c r="W34" s="8"/>
      <c r="X34" s="8"/>
      <c r="Y34" s="8"/>
      <c r="Z34" s="8"/>
      <c r="AA34" s="8"/>
      <c r="AB34" s="8"/>
      <c r="AC34" s="8"/>
      <c r="AD34" s="8"/>
      <c r="AE34" s="8"/>
      <c r="AF34" s="8"/>
      <c r="AG34" s="3"/>
      <c r="AH34" s="3"/>
      <c r="AJ34" s="8"/>
      <c r="AK34" s="8"/>
      <c r="AL34" s="8"/>
    </row>
    <row r="35" spans="1:38" x14ac:dyDescent="0.3">
      <c r="A35" s="28" t="s">
        <v>6</v>
      </c>
      <c r="B35" t="s">
        <v>9</v>
      </c>
      <c r="D35" s="3"/>
      <c r="E35" s="3"/>
      <c r="F35" s="3"/>
      <c r="G35" s="3"/>
      <c r="H35" s="3"/>
      <c r="I35" s="3"/>
      <c r="J35" s="3"/>
      <c r="K35" s="3"/>
      <c r="L35" s="3"/>
      <c r="M35" s="3"/>
      <c r="N35" s="4"/>
      <c r="O35" s="4"/>
      <c r="P35" s="3"/>
      <c r="Q35" s="3"/>
      <c r="R35" s="3"/>
      <c r="S35" s="3"/>
      <c r="T35" s="3"/>
      <c r="U35" s="3"/>
      <c r="V35" s="3"/>
      <c r="W35" s="3"/>
      <c r="X35" s="3"/>
      <c r="Y35" s="3"/>
      <c r="Z35" s="3"/>
      <c r="AA35" s="3"/>
      <c r="AB35" s="3"/>
      <c r="AC35" s="3"/>
      <c r="AD35" s="3"/>
      <c r="AE35" s="3"/>
      <c r="AF35" s="3"/>
      <c r="AG35" s="3"/>
      <c r="AH35" s="3"/>
      <c r="AI35" s="3"/>
      <c r="AJ35" s="3"/>
      <c r="AK35" s="3"/>
      <c r="AL35" s="3"/>
    </row>
    <row r="36" spans="1:38" x14ac:dyDescent="0.3">
      <c r="A36" s="28"/>
      <c r="B36" t="s">
        <v>38</v>
      </c>
      <c r="D36" s="3"/>
      <c r="E36" s="3"/>
      <c r="F36" s="3"/>
      <c r="G36" s="3"/>
      <c r="H36" s="3"/>
      <c r="I36" s="3"/>
      <c r="J36" s="3"/>
      <c r="K36" s="3"/>
      <c r="L36" s="3"/>
      <c r="M36" s="3"/>
      <c r="N36" s="3"/>
      <c r="O36" s="5"/>
      <c r="P36" s="5"/>
      <c r="Q36" s="5"/>
      <c r="R36" s="5"/>
      <c r="S36" s="5"/>
      <c r="T36" s="5"/>
      <c r="U36" s="5"/>
      <c r="V36" s="5"/>
      <c r="W36" s="5"/>
      <c r="X36" s="5"/>
      <c r="Y36" s="5"/>
      <c r="Z36" s="5"/>
      <c r="AA36" s="5"/>
      <c r="AB36" s="5"/>
      <c r="AC36" s="5"/>
      <c r="AD36" s="5"/>
      <c r="AE36" s="5"/>
      <c r="AF36" s="5"/>
      <c r="AG36" s="3"/>
      <c r="AH36" s="3"/>
      <c r="AI36" s="3"/>
      <c r="AJ36" s="3"/>
      <c r="AK36" s="3"/>
      <c r="AL36" s="3"/>
    </row>
    <row r="37" spans="1:38" x14ac:dyDescent="0.3">
      <c r="A37" s="28"/>
      <c r="B37" t="s">
        <v>4</v>
      </c>
      <c r="C37" s="8"/>
      <c r="D37" s="8"/>
      <c r="E37" s="8"/>
      <c r="F37" s="8"/>
      <c r="G37" s="8"/>
      <c r="H37" s="8"/>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spans="1:38" x14ac:dyDescent="0.3">
      <c r="A38" s="29" t="str">
        <f>'Seed Inventory'!C26</f>
        <v>Leek, King Richard</v>
      </c>
      <c r="B38" t="s">
        <v>9</v>
      </c>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8" x14ac:dyDescent="0.3">
      <c r="A39" s="28"/>
      <c r="B39" t="s">
        <v>38</v>
      </c>
      <c r="D39" s="3"/>
      <c r="E39" s="3"/>
      <c r="F39" s="3"/>
      <c r="G39" s="3"/>
      <c r="H39" s="3"/>
      <c r="I39" s="3"/>
      <c r="J39" s="5"/>
      <c r="K39" s="5"/>
      <c r="L39" s="5"/>
      <c r="M39" s="5"/>
      <c r="N39" s="5"/>
      <c r="O39" s="5"/>
      <c r="P39" s="5"/>
      <c r="Q39" s="5"/>
      <c r="S39" s="3"/>
      <c r="T39" s="3"/>
      <c r="U39" s="3"/>
      <c r="V39" s="3"/>
      <c r="W39" s="3"/>
      <c r="X39" s="3"/>
      <c r="Y39" s="3"/>
      <c r="Z39" s="3"/>
      <c r="AA39" s="3"/>
      <c r="AB39" s="3"/>
      <c r="AC39" s="3"/>
      <c r="AD39" s="5"/>
      <c r="AE39" s="5"/>
      <c r="AF39" s="5"/>
      <c r="AG39" s="5"/>
      <c r="AH39" s="5"/>
      <c r="AI39" s="5"/>
      <c r="AJ39" s="5"/>
      <c r="AK39" s="5"/>
      <c r="AL39" s="5"/>
    </row>
    <row r="40" spans="1:38" x14ac:dyDescent="0.3">
      <c r="A40" s="28"/>
      <c r="B40" t="s">
        <v>4</v>
      </c>
      <c r="D40" s="3"/>
      <c r="E40" s="3"/>
      <c r="F40" s="3"/>
      <c r="G40" s="3"/>
      <c r="H40" s="3"/>
      <c r="I40" s="3"/>
      <c r="J40" s="3"/>
      <c r="K40" s="3"/>
      <c r="L40" s="3"/>
      <c r="M40" s="3"/>
      <c r="N40" s="3"/>
      <c r="O40" s="3"/>
      <c r="P40" s="3"/>
      <c r="Q40" s="3"/>
      <c r="R40" s="6"/>
      <c r="S40" s="6"/>
      <c r="T40" s="6"/>
      <c r="U40" s="6"/>
      <c r="V40" s="6"/>
      <c r="W40" s="6"/>
      <c r="X40" s="3"/>
      <c r="Y40" s="3"/>
      <c r="Z40" s="3"/>
      <c r="AA40" s="3"/>
      <c r="AB40" s="3"/>
      <c r="AC40" s="3"/>
      <c r="AD40" s="3"/>
      <c r="AE40" s="3"/>
      <c r="AF40" s="3"/>
      <c r="AG40" s="3"/>
      <c r="AH40" s="3"/>
      <c r="AI40" s="3"/>
      <c r="AJ40" s="3"/>
      <c r="AK40" s="3"/>
      <c r="AL40" s="3"/>
    </row>
    <row r="41" spans="1:38" x14ac:dyDescent="0.3">
      <c r="A41" s="29" t="str">
        <f>'Seed Inventory'!C9</f>
        <v>Radish, Daikon Minowase, Heirloom</v>
      </c>
      <c r="B41" t="s">
        <v>9</v>
      </c>
      <c r="D41" s="3"/>
      <c r="E41" s="3"/>
      <c r="F41" s="3"/>
      <c r="G41" s="3"/>
      <c r="H41" s="3"/>
      <c r="I41" s="3"/>
      <c r="S41" s="3"/>
      <c r="T41" s="3"/>
      <c r="U41" s="3"/>
      <c r="V41" s="3"/>
      <c r="W41" s="3"/>
      <c r="X41" s="3"/>
      <c r="Y41" s="3"/>
      <c r="Z41" s="3"/>
      <c r="AA41" s="3"/>
      <c r="AB41" s="3"/>
      <c r="AC41" s="3"/>
      <c r="AD41" s="3"/>
      <c r="AE41" s="3"/>
      <c r="AF41" s="3"/>
      <c r="AG41" s="3"/>
      <c r="AH41" s="3"/>
      <c r="AI41" s="3"/>
      <c r="AJ41" s="3"/>
      <c r="AK41" s="3"/>
      <c r="AL41" s="3"/>
    </row>
    <row r="42" spans="1:38" x14ac:dyDescent="0.3">
      <c r="A42" s="28"/>
      <c r="B42" t="s">
        <v>38</v>
      </c>
      <c r="D42" s="3"/>
      <c r="E42" s="3"/>
      <c r="F42" s="3"/>
      <c r="G42" s="3"/>
      <c r="H42" s="3"/>
      <c r="I42" s="3"/>
      <c r="J42" s="5"/>
      <c r="K42" s="5"/>
      <c r="L42" s="5"/>
      <c r="M42" s="5"/>
      <c r="N42" s="5"/>
      <c r="O42" s="5"/>
      <c r="P42" s="5"/>
      <c r="Q42" s="5"/>
      <c r="R42" s="3"/>
      <c r="S42" s="3"/>
      <c r="T42" s="3"/>
      <c r="U42" s="3"/>
      <c r="V42" s="3"/>
      <c r="W42" s="3"/>
      <c r="X42" s="3"/>
      <c r="Y42" s="3"/>
      <c r="Z42" s="3"/>
      <c r="AA42" s="3"/>
      <c r="AB42" s="3"/>
      <c r="AC42" s="3"/>
      <c r="AD42" s="5"/>
      <c r="AE42" s="5"/>
      <c r="AF42" s="5"/>
      <c r="AG42" s="5"/>
      <c r="AH42" s="5"/>
      <c r="AI42" s="5"/>
      <c r="AJ42" s="5"/>
      <c r="AK42" s="5"/>
      <c r="AL42" s="5"/>
    </row>
    <row r="43" spans="1:38" x14ac:dyDescent="0.3">
      <c r="A43" s="28"/>
      <c r="B43" t="s">
        <v>4</v>
      </c>
      <c r="C43" s="6"/>
      <c r="D43" s="6"/>
      <c r="E43" s="6"/>
      <c r="F43" s="6"/>
      <c r="G43" s="6"/>
      <c r="H43" s="6"/>
      <c r="I43" s="3"/>
      <c r="J43" s="3"/>
      <c r="K43" s="3"/>
      <c r="L43" s="3"/>
      <c r="M43" s="3"/>
      <c r="N43" s="3"/>
      <c r="O43" s="3"/>
      <c r="P43" s="3"/>
      <c r="Q43" s="3"/>
      <c r="R43" s="6"/>
      <c r="S43" s="6"/>
      <c r="T43" s="6"/>
      <c r="U43" s="3"/>
      <c r="V43" s="3"/>
      <c r="W43" s="3"/>
      <c r="X43" s="3"/>
      <c r="Y43" s="3"/>
      <c r="Z43" s="3"/>
      <c r="AA43" s="3"/>
      <c r="AB43" s="3"/>
      <c r="AC43" s="3"/>
      <c r="AD43" s="3"/>
      <c r="AE43" s="3"/>
      <c r="AF43" s="3"/>
      <c r="AG43" s="3"/>
      <c r="AH43" s="3"/>
      <c r="AI43" s="3"/>
      <c r="AJ43" s="3"/>
      <c r="AK43" s="3"/>
      <c r="AL43" s="3"/>
    </row>
    <row r="44" spans="1:38" x14ac:dyDescent="0.3">
      <c r="A44" s="29" t="str">
        <f>'Seed Inventory'!C10</f>
        <v>Okra, Clemson Spineless, Heirloom</v>
      </c>
      <c r="B44" t="s">
        <v>9</v>
      </c>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8" x14ac:dyDescent="0.3">
      <c r="A45" s="28"/>
      <c r="B45" t="s">
        <v>38</v>
      </c>
      <c r="D45" s="3"/>
      <c r="E45" s="3"/>
      <c r="F45" s="3"/>
      <c r="G45" s="3"/>
      <c r="H45" s="3"/>
      <c r="I45" s="3"/>
      <c r="J45" s="3"/>
      <c r="K45" s="3"/>
      <c r="L45" s="3"/>
      <c r="M45" s="3"/>
      <c r="N45" s="3"/>
      <c r="O45" s="3"/>
      <c r="P45" s="5"/>
      <c r="Q45" s="5"/>
      <c r="R45" s="5"/>
      <c r="S45" s="5"/>
      <c r="T45" s="5"/>
      <c r="U45" s="5"/>
      <c r="V45" s="5"/>
      <c r="W45" s="3"/>
      <c r="X45" s="3"/>
      <c r="Y45" s="3"/>
      <c r="Z45" s="3"/>
      <c r="AA45" s="3"/>
      <c r="AB45" s="3"/>
      <c r="AC45" s="3"/>
      <c r="AD45" s="3"/>
      <c r="AE45" s="3"/>
      <c r="AF45" s="3"/>
      <c r="AG45" s="3"/>
      <c r="AH45" s="3"/>
      <c r="AI45" s="3"/>
      <c r="AJ45" s="3"/>
      <c r="AK45" s="3"/>
      <c r="AL45" s="3"/>
    </row>
    <row r="46" spans="1:38" x14ac:dyDescent="0.3">
      <c r="A46" s="28"/>
      <c r="B46" t="s">
        <v>4</v>
      </c>
      <c r="D46" s="3"/>
      <c r="E46" s="3"/>
      <c r="F46" s="3"/>
      <c r="G46" s="3"/>
      <c r="H46" s="3"/>
      <c r="I46" s="3"/>
      <c r="J46" s="3"/>
      <c r="K46" s="3"/>
      <c r="L46" s="3"/>
      <c r="M46" s="3"/>
      <c r="N46" s="3"/>
      <c r="O46" s="3"/>
      <c r="P46" s="3"/>
      <c r="Q46" s="3"/>
      <c r="R46" s="3"/>
      <c r="S46" s="3"/>
      <c r="T46" s="3"/>
      <c r="U46" s="3"/>
      <c r="V46" s="8"/>
      <c r="W46" s="8"/>
      <c r="X46" s="8"/>
      <c r="Y46" s="8"/>
      <c r="Z46" s="8"/>
      <c r="AA46" s="8"/>
      <c r="AB46" s="8"/>
      <c r="AC46" s="8"/>
      <c r="AD46" s="8"/>
      <c r="AE46" s="8"/>
      <c r="AF46" s="8"/>
      <c r="AG46" s="3"/>
      <c r="AH46" s="3"/>
      <c r="AI46" s="3"/>
      <c r="AJ46" s="3"/>
      <c r="AK46" s="3"/>
      <c r="AL46" s="3"/>
    </row>
    <row r="47" spans="1:38" x14ac:dyDescent="0.3">
      <c r="A47" s="28" t="s">
        <v>140</v>
      </c>
      <c r="B47" t="s">
        <v>9</v>
      </c>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x14ac:dyDescent="0.3">
      <c r="A48" s="28"/>
      <c r="B48" t="s">
        <v>38</v>
      </c>
      <c r="D48" s="3"/>
      <c r="E48" s="3"/>
      <c r="F48" s="3"/>
      <c r="G48" s="3"/>
      <c r="H48" s="3"/>
      <c r="I48" s="3"/>
      <c r="J48" s="3"/>
      <c r="K48" s="3"/>
      <c r="L48" s="3"/>
      <c r="M48" s="3"/>
      <c r="N48" s="3"/>
      <c r="O48" s="4"/>
      <c r="P48" s="4"/>
      <c r="Q48" s="4"/>
      <c r="R48" s="3"/>
      <c r="S48" s="3"/>
      <c r="T48" s="3"/>
      <c r="U48" s="3"/>
      <c r="V48" s="3"/>
      <c r="W48" s="3"/>
      <c r="X48" s="3"/>
      <c r="Y48" s="3"/>
      <c r="Z48" s="3"/>
      <c r="AA48" s="3"/>
      <c r="AB48" s="3"/>
      <c r="AC48" s="3"/>
      <c r="AD48" s="3"/>
      <c r="AE48" s="3"/>
      <c r="AF48" s="3"/>
      <c r="AG48" s="3"/>
      <c r="AH48" s="3"/>
      <c r="AI48" s="3"/>
      <c r="AJ48" s="3"/>
      <c r="AK48" s="3"/>
      <c r="AL48" s="3"/>
    </row>
    <row r="49" spans="1:38" x14ac:dyDescent="0.3">
      <c r="A49" s="28"/>
      <c r="B49" t="s">
        <v>4</v>
      </c>
      <c r="D49" s="3"/>
      <c r="E49" s="3"/>
      <c r="F49" s="3"/>
      <c r="G49" s="3"/>
      <c r="H49" s="3"/>
      <c r="I49" s="3"/>
      <c r="J49" s="3"/>
      <c r="K49" s="3"/>
      <c r="L49" s="3"/>
      <c r="M49" s="3"/>
      <c r="N49" s="3"/>
      <c r="O49" s="3"/>
      <c r="P49" s="3"/>
      <c r="Q49" s="3"/>
      <c r="R49" s="3"/>
      <c r="S49" s="3"/>
      <c r="T49" s="3"/>
      <c r="U49" s="3"/>
      <c r="V49" s="3"/>
      <c r="W49" s="3"/>
      <c r="X49" s="3"/>
      <c r="Y49" s="3"/>
      <c r="Z49" s="3"/>
      <c r="AA49" s="8"/>
      <c r="AB49" s="8"/>
      <c r="AC49" s="8"/>
      <c r="AD49" s="8"/>
      <c r="AE49" s="8"/>
      <c r="AF49" s="8"/>
      <c r="AG49" s="8"/>
      <c r="AH49" s="8"/>
      <c r="AI49" s="8"/>
      <c r="AJ49" s="8"/>
      <c r="AK49" s="8"/>
      <c r="AL49" s="8"/>
    </row>
    <row r="50" spans="1:38" x14ac:dyDescent="0.3">
      <c r="A50" s="11" t="s">
        <v>170</v>
      </c>
      <c r="B50" t="s">
        <v>4</v>
      </c>
      <c r="D50" s="3"/>
      <c r="E50" s="3"/>
      <c r="F50" s="3"/>
      <c r="G50" s="3"/>
      <c r="H50" s="3"/>
      <c r="I50" s="3"/>
      <c r="J50" s="3"/>
      <c r="K50" s="3"/>
      <c r="L50" s="3"/>
      <c r="M50" s="3"/>
      <c r="N50" s="3"/>
      <c r="O50" s="3"/>
      <c r="P50" s="3"/>
      <c r="Q50" s="3"/>
      <c r="R50" s="3"/>
      <c r="S50" s="3"/>
      <c r="T50" s="3"/>
      <c r="U50" s="8"/>
      <c r="V50" s="8"/>
      <c r="W50" s="8"/>
      <c r="X50" s="8"/>
      <c r="Y50" s="8"/>
      <c r="Z50" s="8"/>
      <c r="AA50" s="3"/>
      <c r="AB50" s="3"/>
      <c r="AC50" s="3"/>
      <c r="AD50" s="3"/>
      <c r="AE50" s="3"/>
      <c r="AF50" s="3"/>
      <c r="AG50" s="3"/>
      <c r="AH50" s="3"/>
      <c r="AI50" s="3"/>
      <c r="AJ50" s="3"/>
      <c r="AK50" s="3"/>
      <c r="AL50" s="3"/>
    </row>
    <row r="51" spans="1:38" x14ac:dyDescent="0.3">
      <c r="A51" s="11" t="s">
        <v>21</v>
      </c>
      <c r="B51" t="s">
        <v>4</v>
      </c>
      <c r="D51" s="3"/>
      <c r="E51" s="3"/>
      <c r="F51" s="3"/>
      <c r="G51" s="3"/>
      <c r="H51" s="3"/>
      <c r="I51" s="3"/>
      <c r="J51" s="3"/>
      <c r="K51" s="3"/>
      <c r="L51" s="3"/>
      <c r="M51" s="3"/>
      <c r="N51" s="3"/>
      <c r="O51" s="3"/>
      <c r="P51" s="3"/>
      <c r="Q51" s="3"/>
      <c r="R51" s="3"/>
      <c r="S51" s="3"/>
      <c r="T51" s="3"/>
      <c r="U51" s="8"/>
      <c r="V51" s="8"/>
      <c r="W51" s="8"/>
      <c r="X51" s="8"/>
      <c r="Y51" s="8"/>
      <c r="Z51" s="8"/>
      <c r="AA51" s="3"/>
      <c r="AB51" s="3"/>
      <c r="AC51" s="3"/>
      <c r="AD51" s="3"/>
      <c r="AE51" s="3"/>
      <c r="AF51" s="3"/>
      <c r="AG51" s="3"/>
      <c r="AH51" s="3"/>
      <c r="AI51" s="3"/>
      <c r="AJ51" s="3"/>
      <c r="AK51" s="3"/>
      <c r="AL51" s="3"/>
    </row>
    <row r="52" spans="1:38" x14ac:dyDescent="0.3">
      <c r="A52" s="11" t="s">
        <v>37</v>
      </c>
      <c r="B52" t="s">
        <v>4</v>
      </c>
      <c r="D52" s="3"/>
      <c r="E52" s="3"/>
      <c r="F52" s="3"/>
      <c r="G52" s="3"/>
      <c r="H52" s="3"/>
      <c r="I52" s="3"/>
      <c r="J52" s="3"/>
      <c r="K52" s="3"/>
      <c r="L52" s="3"/>
      <c r="M52" s="3"/>
      <c r="N52" s="3"/>
      <c r="O52" s="6"/>
      <c r="P52" s="6"/>
      <c r="Q52" s="6"/>
      <c r="R52" s="6"/>
      <c r="S52" s="6"/>
      <c r="T52" s="6"/>
      <c r="U52" s="6"/>
      <c r="V52" s="6"/>
      <c r="W52" s="6"/>
      <c r="X52" s="6"/>
      <c r="Y52" s="6"/>
      <c r="AA52" s="3"/>
      <c r="AB52" s="3"/>
      <c r="AC52" s="3"/>
      <c r="AD52" s="3"/>
      <c r="AE52" s="3"/>
      <c r="AF52" s="3"/>
      <c r="AG52" s="3"/>
      <c r="AH52" s="3"/>
      <c r="AI52" s="3"/>
      <c r="AJ52" s="3"/>
      <c r="AK52" s="3"/>
      <c r="AL52" s="3"/>
    </row>
    <row r="53" spans="1:38" x14ac:dyDescent="0.3">
      <c r="A53" s="11" t="s">
        <v>171</v>
      </c>
      <c r="B53" t="s">
        <v>4</v>
      </c>
      <c r="D53" s="3"/>
      <c r="E53" s="3"/>
      <c r="F53" s="3"/>
      <c r="G53" s="3"/>
      <c r="H53" s="3"/>
      <c r="I53" s="3"/>
      <c r="J53" s="3"/>
      <c r="K53" s="3"/>
      <c r="L53" s="3"/>
      <c r="M53" s="3"/>
      <c r="N53" s="3"/>
      <c r="S53" s="6"/>
      <c r="T53" s="6"/>
      <c r="U53" s="6"/>
      <c r="V53" s="6"/>
      <c r="W53" s="6"/>
      <c r="X53" s="6"/>
      <c r="Y53" s="6"/>
      <c r="Z53" s="6"/>
      <c r="AA53" s="3"/>
      <c r="AB53" s="3"/>
      <c r="AC53" s="3"/>
      <c r="AD53" s="3"/>
      <c r="AE53" s="3"/>
      <c r="AF53" s="3"/>
      <c r="AG53" s="3"/>
      <c r="AH53" s="3"/>
      <c r="AI53" s="3"/>
      <c r="AJ53" s="3"/>
      <c r="AK53" s="3"/>
      <c r="AL53" s="3"/>
    </row>
    <row r="54" spans="1:38" x14ac:dyDescent="0.3">
      <c r="A54" s="11" t="s">
        <v>131</v>
      </c>
      <c r="B54" t="s">
        <v>4</v>
      </c>
      <c r="D54" s="3"/>
      <c r="E54" s="3"/>
      <c r="F54" s="3"/>
      <c r="G54" s="3"/>
      <c r="H54" s="3"/>
      <c r="I54" s="3"/>
      <c r="J54" s="3"/>
      <c r="K54" s="3"/>
      <c r="L54" s="3"/>
      <c r="M54" s="3"/>
      <c r="N54" s="3"/>
      <c r="AA54" s="3"/>
      <c r="AB54" s="3"/>
      <c r="AC54" s="3"/>
      <c r="AD54" s="8"/>
      <c r="AE54" s="8"/>
      <c r="AF54" s="8"/>
      <c r="AG54" s="8"/>
      <c r="AH54" s="8"/>
      <c r="AI54" s="8"/>
      <c r="AJ54" s="3"/>
      <c r="AK54" s="3"/>
      <c r="AL54" s="3"/>
    </row>
    <row r="55" spans="1:38" x14ac:dyDescent="0.3">
      <c r="A55" s="11" t="s">
        <v>172</v>
      </c>
      <c r="B55" t="s">
        <v>4</v>
      </c>
      <c r="D55" s="3"/>
      <c r="E55" s="3"/>
      <c r="F55" s="3"/>
      <c r="G55" s="3"/>
      <c r="H55" s="3"/>
      <c r="I55" s="3"/>
      <c r="J55" s="3"/>
      <c r="K55" s="3"/>
      <c r="L55" s="3"/>
      <c r="M55" s="3"/>
      <c r="N55" s="3"/>
      <c r="O55" s="3"/>
      <c r="P55" s="3"/>
      <c r="Q55" s="3"/>
      <c r="R55" s="3"/>
      <c r="S55" s="3"/>
      <c r="T55" s="3"/>
      <c r="U55" s="3"/>
      <c r="V55" s="3"/>
      <c r="W55" s="3"/>
      <c r="X55" s="3"/>
      <c r="Y55" s="3"/>
      <c r="Z55" s="3"/>
      <c r="AA55" s="8"/>
      <c r="AB55" s="8"/>
      <c r="AC55" s="8"/>
      <c r="AD55" s="8"/>
      <c r="AE55" s="8"/>
      <c r="AF55" s="8"/>
      <c r="AG55" s="8"/>
      <c r="AH55" s="8"/>
      <c r="AI55" s="8"/>
      <c r="AJ55" s="3"/>
      <c r="AK55" s="3"/>
      <c r="AL55" s="3"/>
    </row>
    <row r="56" spans="1:38" x14ac:dyDescent="0.3">
      <c r="A56" s="11" t="s">
        <v>39</v>
      </c>
      <c r="B56" t="s">
        <v>4</v>
      </c>
      <c r="D56" s="3"/>
      <c r="E56" s="3"/>
      <c r="F56" s="3"/>
      <c r="G56" s="3"/>
      <c r="H56" s="3"/>
      <c r="I56" s="3"/>
      <c r="J56" s="3"/>
      <c r="K56" s="3"/>
      <c r="L56" s="3"/>
      <c r="M56" s="3"/>
      <c r="N56" s="3"/>
      <c r="O56" s="3"/>
      <c r="P56" s="3"/>
      <c r="Q56" s="3"/>
      <c r="R56" s="3"/>
      <c r="S56" s="3"/>
      <c r="T56" s="3"/>
      <c r="U56" s="3"/>
      <c r="V56" s="3"/>
      <c r="W56" s="3"/>
      <c r="X56" s="3"/>
      <c r="Y56" s="3"/>
      <c r="Z56" s="3"/>
      <c r="AA56" s="8"/>
      <c r="AB56" s="8"/>
      <c r="AC56" s="8"/>
      <c r="AD56" s="8"/>
      <c r="AE56" s="8"/>
      <c r="AF56" s="8"/>
      <c r="AG56" s="3"/>
      <c r="AH56" s="3"/>
      <c r="AI56" s="3"/>
      <c r="AJ56" s="3"/>
      <c r="AK56" s="3"/>
      <c r="AL56" s="3"/>
    </row>
    <row r="57" spans="1:38" x14ac:dyDescent="0.3">
      <c r="A57" s="11" t="s">
        <v>23</v>
      </c>
      <c r="B57" t="s">
        <v>4</v>
      </c>
      <c r="C57" s="3"/>
      <c r="D57" s="3"/>
      <c r="E57" s="3"/>
      <c r="F57" s="3"/>
      <c r="G57" s="3"/>
      <c r="H57" s="3"/>
      <c r="I57" s="3"/>
      <c r="J57" s="3"/>
      <c r="K57" s="8"/>
      <c r="L57" s="8"/>
      <c r="M57" s="8"/>
      <c r="N57" s="8"/>
      <c r="O57" s="8"/>
      <c r="P57" s="8"/>
      <c r="Q57" s="8"/>
      <c r="R57" s="8"/>
      <c r="S57" s="8"/>
      <c r="T57" s="8"/>
      <c r="U57" s="8"/>
      <c r="V57" s="8"/>
      <c r="W57" s="8"/>
      <c r="X57" s="8"/>
      <c r="Y57" s="8"/>
      <c r="Z57" s="8"/>
      <c r="AA57" s="8"/>
      <c r="AB57" s="8"/>
      <c r="AC57" s="8"/>
      <c r="AD57" s="8"/>
      <c r="AE57" s="8"/>
      <c r="AF57" s="8"/>
      <c r="AG57" s="8"/>
      <c r="AH57" s="8"/>
      <c r="AI57" s="8"/>
      <c r="AJ57" s="3"/>
      <c r="AK57" s="3"/>
      <c r="AL57" s="3"/>
    </row>
    <row r="58" spans="1:38" x14ac:dyDescent="0.3">
      <c r="A58" s="11" t="s">
        <v>132</v>
      </c>
      <c r="B58" t="s">
        <v>4</v>
      </c>
      <c r="C58" s="3"/>
      <c r="D58" s="3"/>
      <c r="E58" s="3"/>
      <c r="F58" s="3"/>
      <c r="G58" s="3"/>
      <c r="H58" s="3"/>
      <c r="I58" s="3"/>
      <c r="J58" s="3"/>
      <c r="K58" s="3"/>
      <c r="L58" s="3"/>
      <c r="M58" s="8"/>
      <c r="N58" s="8"/>
      <c r="O58" s="8"/>
      <c r="P58" s="8"/>
      <c r="Q58" s="3"/>
      <c r="R58" s="3"/>
      <c r="S58" s="3"/>
      <c r="T58" s="3"/>
      <c r="U58" s="3"/>
      <c r="V58" s="3"/>
      <c r="W58" s="3"/>
      <c r="X58" s="3"/>
      <c r="Y58" s="3"/>
      <c r="Z58" s="3"/>
      <c r="AA58" s="3"/>
      <c r="AB58" s="3"/>
      <c r="AC58" s="3"/>
      <c r="AD58" s="3"/>
      <c r="AE58" s="3"/>
      <c r="AF58" s="3"/>
      <c r="AG58" s="3"/>
      <c r="AH58" s="3"/>
      <c r="AI58" s="3"/>
      <c r="AJ58" s="3"/>
      <c r="AK58" s="3"/>
      <c r="AL58" s="3"/>
    </row>
    <row r="59" spans="1:38" x14ac:dyDescent="0.3">
      <c r="A59" s="11" t="s">
        <v>124</v>
      </c>
      <c r="B59" t="s">
        <v>4</v>
      </c>
      <c r="C59" s="8"/>
      <c r="D59" s="8"/>
      <c r="E59" s="8"/>
      <c r="F59" s="8"/>
      <c r="G59" s="8"/>
      <c r="H59" s="8"/>
      <c r="I59" s="8"/>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x14ac:dyDescent="0.3">
      <c r="A60" s="11" t="s">
        <v>137</v>
      </c>
      <c r="B60" t="s">
        <v>4</v>
      </c>
      <c r="C60" s="3"/>
      <c r="D60" s="3"/>
      <c r="E60" s="3"/>
      <c r="F60" s="3"/>
      <c r="G60" s="3"/>
      <c r="H60" s="3"/>
      <c r="I60" s="3"/>
      <c r="J60" s="3"/>
      <c r="K60" s="3"/>
      <c r="L60" s="3"/>
      <c r="M60" s="8"/>
      <c r="N60" s="8"/>
      <c r="O60" s="8"/>
      <c r="P60" s="8"/>
      <c r="Q60" s="3"/>
      <c r="R60" s="3"/>
      <c r="S60" s="3"/>
      <c r="T60" s="3"/>
      <c r="U60" s="3"/>
      <c r="V60" s="3"/>
      <c r="W60" s="3"/>
      <c r="X60" s="3"/>
      <c r="Y60" s="3"/>
      <c r="Z60" s="3"/>
      <c r="AA60" s="3"/>
      <c r="AB60" s="3"/>
      <c r="AC60" s="3"/>
      <c r="AD60" s="3"/>
      <c r="AE60" s="3"/>
      <c r="AF60" s="3"/>
      <c r="AG60" s="3"/>
      <c r="AH60" s="3"/>
      <c r="AI60" s="3"/>
      <c r="AJ60" s="3"/>
      <c r="AK60" s="3"/>
      <c r="AL60" s="3"/>
    </row>
    <row r="61" spans="1:38" x14ac:dyDescent="0.3">
      <c r="A61" s="11" t="s">
        <v>138</v>
      </c>
      <c r="B61" t="s">
        <v>4</v>
      </c>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8"/>
      <c r="AE61" s="8"/>
      <c r="AF61" s="8"/>
      <c r="AG61" s="8"/>
      <c r="AH61" s="8"/>
      <c r="AI61" s="8"/>
      <c r="AJ61" s="3"/>
      <c r="AK61" s="3"/>
      <c r="AL61" s="3"/>
    </row>
    <row r="62" spans="1:38" x14ac:dyDescent="0.3">
      <c r="A62" s="11" t="s">
        <v>139</v>
      </c>
      <c r="B62" t="s">
        <v>4</v>
      </c>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row>
    <row r="63" spans="1:38" x14ac:dyDescent="0.3">
      <c r="A63" s="11" t="s">
        <v>141</v>
      </c>
      <c r="B63" t="s">
        <v>4</v>
      </c>
      <c r="F63" s="2"/>
      <c r="G63" s="2"/>
      <c r="H63" s="2"/>
      <c r="I63" s="2"/>
      <c r="J63" s="8"/>
      <c r="K63" s="8"/>
      <c r="L63" s="8"/>
      <c r="M63" s="8"/>
      <c r="N63" s="8"/>
      <c r="O63" s="8"/>
      <c r="P63" s="8"/>
    </row>
    <row r="64" spans="1:38" x14ac:dyDescent="0.3">
      <c r="A64" s="11" t="s">
        <v>142</v>
      </c>
      <c r="B64" t="s">
        <v>4</v>
      </c>
      <c r="E64" s="2"/>
      <c r="F64" s="2"/>
      <c r="G64" s="2"/>
      <c r="H64" s="2"/>
      <c r="I64" s="8"/>
      <c r="J64" s="8"/>
      <c r="K64" s="8"/>
      <c r="L64" s="8"/>
      <c r="M64" s="8"/>
    </row>
    <row r="65" spans="1:29" x14ac:dyDescent="0.3">
      <c r="A65" s="11" t="s">
        <v>169</v>
      </c>
      <c r="B65" t="s">
        <v>4</v>
      </c>
      <c r="I65" s="2"/>
      <c r="J65" s="8"/>
      <c r="K65" s="8"/>
      <c r="L65" s="8"/>
      <c r="M65" s="8"/>
    </row>
    <row r="66" spans="1:29" x14ac:dyDescent="0.3">
      <c r="A66" s="11" t="s">
        <v>16</v>
      </c>
      <c r="B66" t="s">
        <v>4</v>
      </c>
      <c r="X66" s="8"/>
      <c r="Y66" s="8"/>
      <c r="Z66" s="8"/>
      <c r="AA66" s="8"/>
      <c r="AB66" s="8"/>
      <c r="AC66" s="8"/>
    </row>
    <row r="67" spans="1:29" x14ac:dyDescent="0.3">
      <c r="A67" s="11" t="s">
        <v>173</v>
      </c>
      <c r="B67" t="s">
        <v>4</v>
      </c>
      <c r="J67" s="8"/>
      <c r="K67" s="8"/>
      <c r="L67" s="8"/>
      <c r="M67" s="8"/>
      <c r="N67" s="8"/>
    </row>
  </sheetData>
  <mergeCells count="28">
    <mergeCell ref="A2:A4"/>
    <mergeCell ref="A5:A7"/>
    <mergeCell ref="A8:A10"/>
    <mergeCell ref="A41:A43"/>
    <mergeCell ref="A44:A46"/>
    <mergeCell ref="A26:A28"/>
    <mergeCell ref="A29:A31"/>
    <mergeCell ref="A32:A34"/>
    <mergeCell ref="A14:A16"/>
    <mergeCell ref="A17:A19"/>
    <mergeCell ref="A23:A25"/>
    <mergeCell ref="A20:A22"/>
    <mergeCell ref="A47:A49"/>
    <mergeCell ref="A38:A40"/>
    <mergeCell ref="AJ1:AL1"/>
    <mergeCell ref="C1:E1"/>
    <mergeCell ref="F1:H1"/>
    <mergeCell ref="I1:K1"/>
    <mergeCell ref="L1:N1"/>
    <mergeCell ref="O1:Q1"/>
    <mergeCell ref="R1:T1"/>
    <mergeCell ref="U1:W1"/>
    <mergeCell ref="X1:Z1"/>
    <mergeCell ref="AA1:AC1"/>
    <mergeCell ref="AD1:AF1"/>
    <mergeCell ref="AG1:AI1"/>
    <mergeCell ref="A11:A13"/>
    <mergeCell ref="A35:A37"/>
  </mergeCells>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CADCB-E78C-49E2-9A66-BE1C74ECDC39}">
  <dimension ref="K3:Z43"/>
  <sheetViews>
    <sheetView topLeftCell="A14" workbookViewId="0">
      <selection activeCell="U30" sqref="U30"/>
    </sheetView>
  </sheetViews>
  <sheetFormatPr defaultRowHeight="14.4" x14ac:dyDescent="0.3"/>
  <sheetData>
    <row r="3" spans="11:26" x14ac:dyDescent="0.3">
      <c r="K3" s="41" t="s">
        <v>167</v>
      </c>
      <c r="L3" s="41"/>
      <c r="M3" s="41"/>
      <c r="N3" s="41"/>
      <c r="O3" s="41"/>
      <c r="P3" s="41"/>
      <c r="Q3" s="41"/>
      <c r="R3" s="41"/>
      <c r="S3" s="41"/>
      <c r="T3" s="41"/>
      <c r="U3" s="41"/>
      <c r="V3" s="41"/>
      <c r="W3" s="41"/>
      <c r="X3" s="41"/>
      <c r="Y3" s="41"/>
      <c r="Z3" s="41"/>
    </row>
    <row r="4" spans="11:26" x14ac:dyDescent="0.3">
      <c r="K4" s="41"/>
      <c r="L4" s="41"/>
      <c r="M4" s="41"/>
      <c r="N4" s="41"/>
      <c r="O4" s="41"/>
      <c r="P4" s="41"/>
      <c r="Q4" s="41"/>
      <c r="R4" s="41"/>
      <c r="S4" s="41"/>
      <c r="T4" s="41"/>
      <c r="U4" s="41"/>
      <c r="V4" s="41"/>
      <c r="W4" s="41"/>
      <c r="X4" s="41"/>
      <c r="Y4" s="41"/>
      <c r="Z4" s="41"/>
    </row>
    <row r="5" spans="11:26" x14ac:dyDescent="0.3">
      <c r="K5" s="41"/>
      <c r="L5" s="41"/>
      <c r="M5" s="41"/>
      <c r="N5" s="41"/>
      <c r="O5" s="41"/>
      <c r="P5" s="41"/>
      <c r="Q5" s="41"/>
      <c r="R5" s="41"/>
      <c r="S5" s="41"/>
      <c r="T5" s="41"/>
      <c r="U5" s="41"/>
      <c r="V5" s="41"/>
      <c r="W5" s="41"/>
      <c r="X5" s="41"/>
      <c r="Y5" s="41"/>
      <c r="Z5" s="41"/>
    </row>
    <row r="6" spans="11:26" x14ac:dyDescent="0.3">
      <c r="K6" s="41"/>
      <c r="L6" s="41"/>
      <c r="M6" s="41"/>
      <c r="N6" s="41"/>
      <c r="O6" s="41"/>
      <c r="P6" s="41"/>
      <c r="Q6" s="41"/>
      <c r="R6" s="41"/>
      <c r="S6" s="41"/>
      <c r="T6" s="41"/>
      <c r="U6" s="41"/>
      <c r="V6" s="41"/>
      <c r="W6" s="41"/>
      <c r="X6" s="41"/>
      <c r="Y6" s="41"/>
      <c r="Z6" s="41"/>
    </row>
    <row r="7" spans="11:26" x14ac:dyDescent="0.3">
      <c r="K7" s="41"/>
      <c r="L7" s="41"/>
      <c r="M7" s="41"/>
      <c r="N7" s="41"/>
      <c r="O7" s="41"/>
      <c r="P7" s="41"/>
      <c r="Q7" s="41"/>
      <c r="R7" s="41"/>
      <c r="S7" s="41"/>
      <c r="T7" s="41"/>
      <c r="U7" s="41"/>
      <c r="V7" s="41"/>
      <c r="W7" s="41"/>
      <c r="X7" s="41"/>
      <c r="Y7" s="41"/>
      <c r="Z7" s="41"/>
    </row>
    <row r="8" spans="11:26" x14ac:dyDescent="0.3">
      <c r="K8" s="31" t="s">
        <v>160</v>
      </c>
      <c r="L8" s="33" t="s">
        <v>160</v>
      </c>
      <c r="M8" s="31" t="s">
        <v>158</v>
      </c>
      <c r="N8" s="33" t="s">
        <v>158</v>
      </c>
      <c r="O8" s="31" t="s">
        <v>157</v>
      </c>
      <c r="P8" s="33" t="s">
        <v>157</v>
      </c>
      <c r="Q8" s="31" t="s">
        <v>154</v>
      </c>
      <c r="R8" s="33" t="s">
        <v>154</v>
      </c>
      <c r="S8" s="35" t="s">
        <v>153</v>
      </c>
      <c r="T8" s="35"/>
      <c r="U8" s="35"/>
      <c r="V8" s="35"/>
      <c r="W8" s="35"/>
      <c r="X8" s="35"/>
      <c r="Y8" s="35"/>
      <c r="Z8" s="36"/>
    </row>
    <row r="9" spans="11:26" x14ac:dyDescent="0.3">
      <c r="K9" s="32"/>
      <c r="L9" s="34"/>
      <c r="M9" s="32"/>
      <c r="N9" s="34"/>
      <c r="O9" s="32"/>
      <c r="P9" s="34"/>
      <c r="Q9" s="32"/>
      <c r="R9" s="34"/>
      <c r="S9" s="35"/>
      <c r="T9" s="35"/>
      <c r="U9" s="35"/>
      <c r="V9" s="35"/>
      <c r="W9" s="35"/>
      <c r="X9" s="35"/>
      <c r="Y9" s="35"/>
      <c r="Z9" s="36"/>
    </row>
    <row r="10" spans="11:26" x14ac:dyDescent="0.3">
      <c r="K10" s="32"/>
      <c r="L10" s="34"/>
      <c r="M10" s="32"/>
      <c r="N10" s="34"/>
      <c r="O10" s="32"/>
      <c r="P10" s="34"/>
      <c r="Q10" s="32"/>
      <c r="R10" s="34"/>
      <c r="S10" s="35"/>
      <c r="T10" s="35"/>
      <c r="U10" s="35"/>
      <c r="V10" s="35"/>
      <c r="W10" s="35"/>
      <c r="X10" s="35"/>
      <c r="Y10" s="35"/>
      <c r="Z10" s="36"/>
    </row>
    <row r="11" spans="11:26" ht="15" customHeight="1" x14ac:dyDescent="0.3">
      <c r="K11" s="31" t="s">
        <v>161</v>
      </c>
      <c r="L11" s="33" t="s">
        <v>161</v>
      </c>
      <c r="M11" s="31" t="s">
        <v>159</v>
      </c>
      <c r="N11" s="33" t="s">
        <v>159</v>
      </c>
      <c r="O11" s="31" t="s">
        <v>156</v>
      </c>
      <c r="P11" s="33" t="s">
        <v>156</v>
      </c>
      <c r="Q11" s="31" t="s">
        <v>155</v>
      </c>
      <c r="R11" s="33" t="s">
        <v>155</v>
      </c>
      <c r="S11" s="35"/>
      <c r="T11" s="35"/>
      <c r="U11" s="35"/>
      <c r="V11" s="35"/>
      <c r="W11" s="35"/>
      <c r="X11" s="35"/>
      <c r="Y11" s="35"/>
      <c r="Z11" s="36"/>
    </row>
    <row r="12" spans="11:26" x14ac:dyDescent="0.3">
      <c r="K12" s="32"/>
      <c r="L12" s="33"/>
      <c r="M12" s="32"/>
      <c r="N12" s="33"/>
      <c r="O12" s="32"/>
      <c r="P12" s="33"/>
      <c r="Q12" s="32"/>
      <c r="R12" s="33"/>
      <c r="S12" s="35"/>
      <c r="T12" s="35"/>
      <c r="U12" s="35"/>
      <c r="V12" s="35"/>
      <c r="W12" s="35"/>
      <c r="X12" s="35"/>
      <c r="Y12" s="35"/>
      <c r="Z12" s="36"/>
    </row>
    <row r="13" spans="11:26" ht="15" thickBot="1" x14ac:dyDescent="0.35">
      <c r="K13" s="39"/>
      <c r="L13" s="40"/>
      <c r="M13" s="39"/>
      <c r="N13" s="40"/>
      <c r="O13" s="39"/>
      <c r="P13" s="40"/>
      <c r="Q13" s="39"/>
      <c r="R13" s="40"/>
      <c r="S13" s="37"/>
      <c r="T13" s="37"/>
      <c r="U13" s="37"/>
      <c r="V13" s="37"/>
      <c r="W13" s="37"/>
      <c r="X13" s="37"/>
      <c r="Y13" s="37"/>
      <c r="Z13" s="38"/>
    </row>
    <row r="19" spans="13:16" ht="15" thickBot="1" x14ac:dyDescent="0.35"/>
    <row r="20" spans="13:16" ht="15" customHeight="1" x14ac:dyDescent="0.3">
      <c r="M20" s="42" t="s">
        <v>167</v>
      </c>
      <c r="N20" s="42"/>
      <c r="O20" s="47" t="s">
        <v>162</v>
      </c>
      <c r="P20" s="42" t="s">
        <v>163</v>
      </c>
    </row>
    <row r="21" spans="13:16" x14ac:dyDescent="0.3">
      <c r="M21" s="42"/>
      <c r="N21" s="42"/>
      <c r="O21" s="48"/>
      <c r="P21" s="42"/>
    </row>
    <row r="22" spans="13:16" x14ac:dyDescent="0.3">
      <c r="M22" s="42"/>
      <c r="N22" s="42"/>
      <c r="O22" s="48"/>
      <c r="P22" s="42"/>
    </row>
    <row r="23" spans="13:16" x14ac:dyDescent="0.3">
      <c r="M23" s="42"/>
      <c r="N23" s="42"/>
      <c r="O23" s="48"/>
      <c r="P23" s="42"/>
    </row>
    <row r="24" spans="13:16" x14ac:dyDescent="0.3">
      <c r="M24" s="42"/>
      <c r="N24" s="42"/>
      <c r="O24" s="48"/>
      <c r="P24" s="42"/>
    </row>
    <row r="25" spans="13:16" ht="15" thickBot="1" x14ac:dyDescent="0.35">
      <c r="M25" s="42"/>
      <c r="N25" s="42"/>
      <c r="O25" s="49"/>
      <c r="P25" s="42"/>
    </row>
    <row r="26" spans="13:16" ht="15" customHeight="1" x14ac:dyDescent="0.3">
      <c r="M26" s="42"/>
      <c r="N26" s="42"/>
      <c r="O26" s="47" t="s">
        <v>162</v>
      </c>
      <c r="P26" s="42"/>
    </row>
    <row r="27" spans="13:16" x14ac:dyDescent="0.3">
      <c r="M27" s="42"/>
      <c r="N27" s="42"/>
      <c r="O27" s="48"/>
      <c r="P27" s="42"/>
    </row>
    <row r="28" spans="13:16" x14ac:dyDescent="0.3">
      <c r="M28" s="42"/>
      <c r="N28" s="42"/>
      <c r="O28" s="48"/>
      <c r="P28" s="42"/>
    </row>
    <row r="29" spans="13:16" x14ac:dyDescent="0.3">
      <c r="M29" s="42"/>
      <c r="N29" s="42"/>
      <c r="O29" s="48"/>
      <c r="P29" s="42"/>
    </row>
    <row r="30" spans="13:16" x14ac:dyDescent="0.3">
      <c r="M30" s="42"/>
      <c r="N30" s="42"/>
      <c r="O30" s="48"/>
      <c r="P30" s="42"/>
    </row>
    <row r="31" spans="13:16" x14ac:dyDescent="0.3">
      <c r="M31" s="42"/>
      <c r="N31" s="42"/>
      <c r="O31" s="50"/>
      <c r="P31" s="42"/>
    </row>
    <row r="32" spans="13:16" ht="15" customHeight="1" x14ac:dyDescent="0.3">
      <c r="M32" s="42" t="s">
        <v>168</v>
      </c>
      <c r="N32" s="42"/>
      <c r="O32" s="43" t="s">
        <v>164</v>
      </c>
      <c r="P32" s="45" t="s">
        <v>164</v>
      </c>
    </row>
    <row r="33" spans="13:16" x14ac:dyDescent="0.3">
      <c r="M33" s="42"/>
      <c r="N33" s="42"/>
      <c r="O33" s="44"/>
      <c r="P33" s="46"/>
    </row>
    <row r="34" spans="13:16" x14ac:dyDescent="0.3">
      <c r="M34" s="42"/>
      <c r="N34" s="42"/>
      <c r="O34" s="44"/>
      <c r="P34" s="46"/>
    </row>
    <row r="35" spans="13:16" x14ac:dyDescent="0.3">
      <c r="M35" s="42"/>
      <c r="N35" s="42"/>
      <c r="O35" s="43" t="s">
        <v>166</v>
      </c>
      <c r="P35" s="45" t="s">
        <v>166</v>
      </c>
    </row>
    <row r="36" spans="13:16" x14ac:dyDescent="0.3">
      <c r="M36" s="42"/>
      <c r="N36" s="42"/>
      <c r="O36" s="44"/>
      <c r="P36" s="46"/>
    </row>
    <row r="37" spans="13:16" x14ac:dyDescent="0.3">
      <c r="M37" s="42"/>
      <c r="N37" s="42"/>
      <c r="O37" s="44"/>
      <c r="P37" s="46"/>
    </row>
    <row r="38" spans="13:16" x14ac:dyDescent="0.3">
      <c r="M38" s="42"/>
      <c r="N38" s="42"/>
      <c r="O38" s="43" t="s">
        <v>165</v>
      </c>
      <c r="P38" s="45" t="s">
        <v>165</v>
      </c>
    </row>
    <row r="39" spans="13:16" x14ac:dyDescent="0.3">
      <c r="M39" s="42"/>
      <c r="N39" s="42"/>
      <c r="O39" s="44"/>
      <c r="P39" s="46"/>
    </row>
    <row r="40" spans="13:16" x14ac:dyDescent="0.3">
      <c r="M40" s="42"/>
      <c r="N40" s="42"/>
      <c r="O40" s="44"/>
      <c r="P40" s="46"/>
    </row>
    <row r="41" spans="13:16" x14ac:dyDescent="0.3">
      <c r="O41" s="51"/>
      <c r="P41" s="51"/>
    </row>
    <row r="42" spans="13:16" x14ac:dyDescent="0.3">
      <c r="O42" s="51"/>
      <c r="P42" s="51"/>
    </row>
    <row r="43" spans="13:16" x14ac:dyDescent="0.3">
      <c r="O43" s="51"/>
      <c r="P43" s="51"/>
    </row>
  </sheetData>
  <mergeCells count="31">
    <mergeCell ref="O38:O40"/>
    <mergeCell ref="P38:P40"/>
    <mergeCell ref="O41:O43"/>
    <mergeCell ref="P41:P43"/>
    <mergeCell ref="P20:P31"/>
    <mergeCell ref="K3:Z7"/>
    <mergeCell ref="M20:N31"/>
    <mergeCell ref="M32:N40"/>
    <mergeCell ref="O32:O34"/>
    <mergeCell ref="P32:P34"/>
    <mergeCell ref="O35:O37"/>
    <mergeCell ref="P35:P37"/>
    <mergeCell ref="O20:O25"/>
    <mergeCell ref="O26:O31"/>
    <mergeCell ref="P8:P10"/>
    <mergeCell ref="K11:K13"/>
    <mergeCell ref="L11:L13"/>
    <mergeCell ref="M11:M13"/>
    <mergeCell ref="N11:N13"/>
    <mergeCell ref="O11:O13"/>
    <mergeCell ref="P11:P13"/>
    <mergeCell ref="S8:Z13"/>
    <mergeCell ref="Q8:Q10"/>
    <mergeCell ref="R8:R10"/>
    <mergeCell ref="Q11:Q13"/>
    <mergeCell ref="R11:R13"/>
    <mergeCell ref="K8:K10"/>
    <mergeCell ref="L8:L10"/>
    <mergeCell ref="M8:M10"/>
    <mergeCell ref="N8:N10"/>
    <mergeCell ref="O8:O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opLeftCell="A5" workbookViewId="0">
      <selection activeCell="F16" sqref="F15:F16"/>
    </sheetView>
  </sheetViews>
  <sheetFormatPr defaultRowHeight="14.4" x14ac:dyDescent="0.3"/>
  <cols>
    <col min="1" max="1" width="32.88671875" customWidth="1"/>
    <col min="2" max="2" width="11.5546875" customWidth="1"/>
    <col min="3" max="3" width="20.33203125" customWidth="1"/>
    <col min="4" max="4" width="16.88671875" customWidth="1"/>
    <col min="5" max="5" width="14.44140625" customWidth="1"/>
    <col min="6" max="7" width="22.6640625" bestFit="1" customWidth="1"/>
    <col min="8" max="8" width="26.33203125" bestFit="1" customWidth="1"/>
  </cols>
  <sheetData>
    <row r="1" spans="1:8" x14ac:dyDescent="0.3">
      <c r="A1" t="s">
        <v>0</v>
      </c>
      <c r="B1" t="s">
        <v>1</v>
      </c>
      <c r="C1" t="s">
        <v>7</v>
      </c>
      <c r="D1" t="s">
        <v>8</v>
      </c>
      <c r="E1" t="s">
        <v>9</v>
      </c>
      <c r="F1" t="s">
        <v>2</v>
      </c>
      <c r="G1" t="s">
        <v>3</v>
      </c>
      <c r="H1" t="s">
        <v>4</v>
      </c>
    </row>
    <row r="2" spans="1:8" x14ac:dyDescent="0.3">
      <c r="A2" s="10" t="str">
        <f>'Seed Inventory'!C4</f>
        <v>Lavender</v>
      </c>
      <c r="B2">
        <v>6</v>
      </c>
      <c r="D2">
        <v>85</v>
      </c>
      <c r="E2" t="s">
        <v>10</v>
      </c>
      <c r="F2" s="1">
        <v>44972</v>
      </c>
      <c r="G2" s="1">
        <v>45017</v>
      </c>
      <c r="H2" s="1">
        <f>Table1[[#This Row],[Sow/Plant Outdoors]]+Table1[[#This Row],[Days to Maturity]]</f>
        <v>45102</v>
      </c>
    </row>
    <row r="3" spans="1:8" x14ac:dyDescent="0.3">
      <c r="A3" s="10" t="str">
        <f>'Seed Inventory'!C8</f>
        <v>Tomato, Black Cherry, Heirloom</v>
      </c>
      <c r="B3">
        <v>1</v>
      </c>
      <c r="C3">
        <v>14</v>
      </c>
      <c r="D3">
        <v>70</v>
      </c>
      <c r="E3" t="s">
        <v>10</v>
      </c>
      <c r="F3" s="1">
        <v>44972</v>
      </c>
      <c r="G3" s="1">
        <v>45047</v>
      </c>
      <c r="H3" s="1">
        <f>Table1[[#This Row],[Sow/Plant Outdoors]]+Table1[[#This Row],[Days to Maturity]]</f>
        <v>45117</v>
      </c>
    </row>
    <row r="4" spans="1:8" x14ac:dyDescent="0.3">
      <c r="A4" s="10" t="str">
        <f>'Seed Inventory'!C3</f>
        <v>Early Jalapeno, Heirloom</v>
      </c>
      <c r="B4">
        <v>1</v>
      </c>
      <c r="C4">
        <v>20</v>
      </c>
      <c r="D4">
        <v>45</v>
      </c>
      <c r="E4" t="s">
        <v>10</v>
      </c>
      <c r="F4" s="1">
        <v>44972</v>
      </c>
      <c r="G4" s="1">
        <v>45078</v>
      </c>
      <c r="H4" s="1">
        <f>Table1[[#This Row],[Sow/Plant Outdoors]]+Table1[[#This Row],[Days to Maturity]]</f>
        <v>45123</v>
      </c>
    </row>
    <row r="5" spans="1:8" x14ac:dyDescent="0.3">
      <c r="A5" s="10" t="str">
        <f>'Seed Inventory'!C5</f>
        <v>Italian Pepperoncini Hot Pepper</v>
      </c>
      <c r="B5">
        <v>2</v>
      </c>
      <c r="C5">
        <v>20</v>
      </c>
      <c r="D5">
        <v>45</v>
      </c>
      <c r="E5" t="s">
        <v>10</v>
      </c>
      <c r="F5" s="1">
        <v>44972</v>
      </c>
      <c r="G5" s="1">
        <v>45078</v>
      </c>
      <c r="H5" s="1">
        <f>Table1[[#This Row],[Sow/Plant Outdoors]]+Table1[[#This Row],[Days to Maturity]]</f>
        <v>45123</v>
      </c>
    </row>
    <row r="6" spans="1:8" x14ac:dyDescent="0.3">
      <c r="A6" s="10" t="str">
        <f>'Seed Inventory'!C2</f>
        <v>Anaheim Hot Pepper, Heirloom</v>
      </c>
      <c r="B6">
        <v>1</v>
      </c>
      <c r="C6">
        <v>25</v>
      </c>
      <c r="D6">
        <v>45</v>
      </c>
      <c r="E6" t="s">
        <v>10</v>
      </c>
      <c r="F6" s="1">
        <v>44972</v>
      </c>
      <c r="G6" s="1">
        <v>45078</v>
      </c>
      <c r="H6" s="1">
        <f>Table1[[#This Row],[Sow/Plant Outdoors]]+Table1[[#This Row],[Days to Maturity]]</f>
        <v>45123</v>
      </c>
    </row>
    <row r="7" spans="1:8" x14ac:dyDescent="0.3">
      <c r="A7" s="10" t="str">
        <f>'Seed Inventory'!C23</f>
        <v>Tomato, Roma</v>
      </c>
      <c r="B7">
        <v>1</v>
      </c>
      <c r="D7">
        <v>78</v>
      </c>
      <c r="F7" s="1">
        <v>44986</v>
      </c>
      <c r="G7" s="1">
        <v>45031</v>
      </c>
      <c r="H7" s="1">
        <f>Table1[[#This Row],[Sow/Plant Outdoors]]+Table1[[#This Row],[Days to Maturity]]</f>
        <v>45109</v>
      </c>
    </row>
    <row r="8" spans="1:8" x14ac:dyDescent="0.3">
      <c r="A8" s="10" t="str">
        <f>'Seed Inventory'!C11</f>
        <v>Tomato, Mortgage Lifter, Heirloom</v>
      </c>
      <c r="B8">
        <v>1</v>
      </c>
      <c r="D8">
        <v>85</v>
      </c>
      <c r="F8" s="1">
        <v>44986</v>
      </c>
      <c r="G8" s="1">
        <v>45031</v>
      </c>
      <c r="H8" s="1">
        <f>Table1[[#This Row],[Sow/Plant Outdoors]]+Table1[[#This Row],[Days to Maturity]]</f>
        <v>45116</v>
      </c>
    </row>
    <row r="9" spans="1:8" x14ac:dyDescent="0.3">
      <c r="A9" s="10" t="str">
        <f>'Seed Inventory'!C7</f>
        <v>Cucumber, Pick-a-bushel Hybrid</v>
      </c>
      <c r="B9">
        <v>2</v>
      </c>
      <c r="C9">
        <v>14</v>
      </c>
      <c r="D9">
        <v>50</v>
      </c>
      <c r="E9" t="s">
        <v>10</v>
      </c>
      <c r="F9" s="1">
        <v>45017</v>
      </c>
      <c r="G9" s="1">
        <v>45047</v>
      </c>
      <c r="H9" s="1">
        <f>Table1[[#This Row],[Sow/Plant Outdoors]]+Table1[[#This Row],[Days to Maturity]]</f>
        <v>45097</v>
      </c>
    </row>
    <row r="10" spans="1:8" x14ac:dyDescent="0.3">
      <c r="A10" s="10" t="str">
        <f>'Seed Inventory'!C6</f>
        <v>Snow Pea, Heirloom</v>
      </c>
      <c r="B10">
        <v>11</v>
      </c>
      <c r="C10">
        <v>14</v>
      </c>
      <c r="D10">
        <v>68</v>
      </c>
      <c r="E10" t="s">
        <v>10</v>
      </c>
      <c r="F10" s="1">
        <f>Table1[[#This Row],[Sow/Plant Outdoors]]-14</f>
        <v>45017</v>
      </c>
      <c r="G10" s="1">
        <v>45031</v>
      </c>
      <c r="H10" s="1">
        <f>Table1[[#This Row],[Sow/Plant Outdoors]]+Table1[[#This Row],[Days to Maturity]]</f>
        <v>45099</v>
      </c>
    </row>
    <row r="11" spans="1:8" x14ac:dyDescent="0.3">
      <c r="A11" s="10" t="str">
        <f>'Seed Inventory'!C21</f>
        <v>Pole Bean, Kentucky Wonder, Heirloom</v>
      </c>
      <c r="B11">
        <v>8</v>
      </c>
      <c r="F11" s="1"/>
      <c r="G11" s="1"/>
      <c r="H11" s="1">
        <f>Table1[[#This Row],[Sow/Plant Outdoors]]+Table1[[#This Row],[Days to Maturity]]</f>
        <v>0</v>
      </c>
    </row>
    <row r="12" spans="1:8" x14ac:dyDescent="0.3">
      <c r="A12" s="10" t="str">
        <f>'Seed Inventory'!C22</f>
        <v>Broccoli, De Cicco, Heirloom</v>
      </c>
      <c r="B12">
        <v>2</v>
      </c>
      <c r="F12" s="1"/>
      <c r="G12" s="1"/>
      <c r="H12" s="1">
        <f>Table1[[#This Row],[Sow/Plant Outdoors]]+Table1[[#This Row],[Days to Maturity]]</f>
        <v>0</v>
      </c>
    </row>
    <row r="13" spans="1:8" x14ac:dyDescent="0.3">
      <c r="A13" t="s">
        <v>6</v>
      </c>
      <c r="B13">
        <v>4</v>
      </c>
      <c r="F13" s="1"/>
      <c r="G13" s="1"/>
      <c r="H13" s="1">
        <f>Table1[[#This Row],[Sow/Plant Outdoors]]+Table1[[#This Row],[Days to Maturity]]</f>
        <v>0</v>
      </c>
    </row>
    <row r="14" spans="1:8" x14ac:dyDescent="0.3">
      <c r="A14" s="10" t="str">
        <f>'Seed Inventory'!C26</f>
        <v>Leek, King Richard</v>
      </c>
      <c r="B14">
        <v>7</v>
      </c>
      <c r="D14">
        <v>75</v>
      </c>
      <c r="E14" t="s">
        <v>11</v>
      </c>
      <c r="F14" s="1"/>
      <c r="G14" s="1">
        <v>45000</v>
      </c>
      <c r="H14" s="1">
        <f>Table1[[#This Row],[Sow/Plant Outdoors]]+Table1[[#This Row],[Days to Maturity]]</f>
        <v>45075</v>
      </c>
    </row>
    <row r="15" spans="1:8" x14ac:dyDescent="0.3">
      <c r="A15" s="10" t="str">
        <f>'Seed Inventory'!C9</f>
        <v>Radish, Daikon Minowase, Heirloom</v>
      </c>
      <c r="B15">
        <v>32</v>
      </c>
      <c r="C15">
        <v>10</v>
      </c>
      <c r="D15">
        <v>45</v>
      </c>
      <c r="E15" t="s">
        <v>11</v>
      </c>
      <c r="F15" s="1"/>
      <c r="G15" s="1">
        <v>45000</v>
      </c>
      <c r="H15" s="1">
        <v>45078</v>
      </c>
    </row>
    <row r="16" spans="1:8" x14ac:dyDescent="0.3">
      <c r="A16" s="10" t="str">
        <f>'Seed Inventory'!C10</f>
        <v>Okra, Clemson Spineless, Heirloom</v>
      </c>
      <c r="B16">
        <v>5</v>
      </c>
      <c r="C16">
        <v>10</v>
      </c>
      <c r="D16">
        <v>65</v>
      </c>
      <c r="E16" t="s">
        <v>11</v>
      </c>
      <c r="F16" s="1"/>
      <c r="G16" s="1">
        <v>45061</v>
      </c>
      <c r="H16" s="1">
        <f>Table1[[#This Row],[Sow/Plant Outdoors]]+Table1[[#This Row],[Days to Maturity]]</f>
        <v>45126</v>
      </c>
    </row>
    <row r="17" spans="1:8" x14ac:dyDescent="0.3">
      <c r="A17" t="s">
        <v>16</v>
      </c>
      <c r="F17" s="1"/>
      <c r="G17" s="1"/>
      <c r="H17" s="1" t="s">
        <v>14</v>
      </c>
    </row>
    <row r="18" spans="1:8" x14ac:dyDescent="0.3">
      <c r="A18" t="s">
        <v>20</v>
      </c>
      <c r="F18" s="1"/>
      <c r="G18" s="1"/>
      <c r="H18" s="1" t="s">
        <v>22</v>
      </c>
    </row>
    <row r="19" spans="1:8" x14ac:dyDescent="0.3">
      <c r="A19" t="s">
        <v>21</v>
      </c>
      <c r="F19" s="1"/>
      <c r="G19" s="1"/>
      <c r="H19" s="1" t="s">
        <v>22</v>
      </c>
    </row>
    <row r="20" spans="1:8" x14ac:dyDescent="0.3">
      <c r="A20" t="s">
        <v>23</v>
      </c>
      <c r="F20" s="1"/>
      <c r="G20" s="1"/>
      <c r="H20" s="1" t="s">
        <v>24</v>
      </c>
    </row>
    <row r="21" spans="1:8" x14ac:dyDescent="0.3">
      <c r="A21" t="s">
        <v>18</v>
      </c>
      <c r="F21" s="1"/>
      <c r="G21" s="1"/>
      <c r="H21" s="1" t="s">
        <v>19</v>
      </c>
    </row>
    <row r="22" spans="1:8" x14ac:dyDescent="0.3">
      <c r="A22" t="s">
        <v>13</v>
      </c>
      <c r="F22" s="1"/>
      <c r="G22" s="1"/>
      <c r="H22" s="1" t="s">
        <v>15</v>
      </c>
    </row>
    <row r="23" spans="1:8" x14ac:dyDescent="0.3">
      <c r="A23" t="s">
        <v>12</v>
      </c>
      <c r="F23" s="1"/>
      <c r="G23" s="1"/>
      <c r="H23" s="1" t="s">
        <v>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8AE85-3354-4179-8CC1-A3A0BA06C307}">
  <dimension ref="C1:M12"/>
  <sheetViews>
    <sheetView workbookViewId="0">
      <selection activeCell="G4" sqref="G4"/>
    </sheetView>
  </sheetViews>
  <sheetFormatPr defaultRowHeight="14.4" x14ac:dyDescent="0.3"/>
  <cols>
    <col min="3" max="3" width="18.33203125" customWidth="1"/>
    <col min="5" max="5" width="22.109375" customWidth="1"/>
    <col min="6" max="6" width="13.109375" customWidth="1"/>
    <col min="7" max="13" width="35.44140625" customWidth="1"/>
  </cols>
  <sheetData>
    <row r="1" spans="3:13" s="9" customFormat="1" x14ac:dyDescent="0.3">
      <c r="C1" s="9" t="s">
        <v>25</v>
      </c>
      <c r="D1" s="9" t="s">
        <v>26</v>
      </c>
      <c r="E1" s="9" t="s">
        <v>27</v>
      </c>
      <c r="F1" s="9" t="s">
        <v>28</v>
      </c>
      <c r="G1" s="9" t="s">
        <v>29</v>
      </c>
      <c r="H1" s="9" t="s">
        <v>30</v>
      </c>
      <c r="I1" s="9" t="s">
        <v>31</v>
      </c>
      <c r="J1" s="9" t="s">
        <v>32</v>
      </c>
      <c r="K1" s="9" t="s">
        <v>33</v>
      </c>
      <c r="L1" s="9" t="s">
        <v>34</v>
      </c>
      <c r="M1" s="9" t="s">
        <v>35</v>
      </c>
    </row>
    <row r="2" spans="3:13" ht="100.8" x14ac:dyDescent="0.3">
      <c r="C2" s="2" t="s">
        <v>126</v>
      </c>
      <c r="E2" s="2" t="s">
        <v>174</v>
      </c>
      <c r="F2" s="2" t="s">
        <v>125</v>
      </c>
      <c r="G2" t="s">
        <v>48</v>
      </c>
      <c r="H2" s="2" t="s">
        <v>40</v>
      </c>
      <c r="I2" s="2" t="s">
        <v>52</v>
      </c>
    </row>
    <row r="3" spans="3:13" ht="86.4" x14ac:dyDescent="0.3">
      <c r="E3" s="2" t="s">
        <v>175</v>
      </c>
      <c r="G3" s="2" t="s">
        <v>303</v>
      </c>
      <c r="H3" t="s">
        <v>41</v>
      </c>
      <c r="I3" t="s">
        <v>53</v>
      </c>
    </row>
    <row r="4" spans="3:13" ht="86.4" x14ac:dyDescent="0.3">
      <c r="H4" s="2" t="s">
        <v>42</v>
      </c>
      <c r="I4" t="s">
        <v>54</v>
      </c>
    </row>
    <row r="5" spans="3:13" ht="43.2" x14ac:dyDescent="0.3">
      <c r="H5" s="2" t="s">
        <v>43</v>
      </c>
      <c r="I5" s="2" t="s">
        <v>55</v>
      </c>
    </row>
    <row r="6" spans="3:13" ht="57.6" x14ac:dyDescent="0.3">
      <c r="H6" s="2" t="s">
        <v>44</v>
      </c>
      <c r="I6" s="2" t="s">
        <v>100</v>
      </c>
    </row>
    <row r="7" spans="3:13" x14ac:dyDescent="0.3">
      <c r="H7" s="2" t="s">
        <v>45</v>
      </c>
      <c r="I7" t="s">
        <v>99</v>
      </c>
    </row>
    <row r="8" spans="3:13" ht="43.2" x14ac:dyDescent="0.3">
      <c r="H8" s="2" t="s">
        <v>46</v>
      </c>
      <c r="I8" s="2" t="s">
        <v>101</v>
      </c>
    </row>
    <row r="9" spans="3:13" ht="57.6" x14ac:dyDescent="0.3">
      <c r="H9" s="2" t="s">
        <v>47</v>
      </c>
      <c r="I9" s="2" t="s">
        <v>102</v>
      </c>
    </row>
    <row r="10" spans="3:13" x14ac:dyDescent="0.3">
      <c r="H10" s="2" t="s">
        <v>49</v>
      </c>
    </row>
    <row r="11" spans="3:13" x14ac:dyDescent="0.3">
      <c r="H11" s="2" t="s">
        <v>50</v>
      </c>
    </row>
    <row r="12" spans="3:13" ht="43.2" x14ac:dyDescent="0.3">
      <c r="H12" s="2" t="s">
        <v>51</v>
      </c>
    </row>
  </sheetData>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6212-614F-49FF-A273-B04370736426}">
  <dimension ref="A23:D47"/>
  <sheetViews>
    <sheetView topLeftCell="A23" workbookViewId="0">
      <selection activeCell="H34" sqref="H34"/>
    </sheetView>
  </sheetViews>
  <sheetFormatPr defaultRowHeight="14.4" x14ac:dyDescent="0.3"/>
  <cols>
    <col min="1" max="1" width="10.6640625" bestFit="1" customWidth="1"/>
    <col min="2" max="2" width="17.33203125" bestFit="1" customWidth="1"/>
    <col min="3" max="3" width="19.88671875" bestFit="1" customWidth="1"/>
    <col min="4" max="4" width="16.6640625" bestFit="1" customWidth="1"/>
  </cols>
  <sheetData>
    <row r="23" spans="1:4" x14ac:dyDescent="0.3">
      <c r="A23" t="s">
        <v>201</v>
      </c>
      <c r="B23" t="s">
        <v>202</v>
      </c>
      <c r="C23" s="21" t="s">
        <v>203</v>
      </c>
      <c r="D23" t="s">
        <v>204</v>
      </c>
    </row>
    <row r="24" spans="1:4" x14ac:dyDescent="0.3">
      <c r="A24">
        <v>0.25</v>
      </c>
      <c r="B24">
        <v>0.5</v>
      </c>
      <c r="C24" s="22">
        <v>0.5</v>
      </c>
      <c r="D24">
        <v>0.4</v>
      </c>
    </row>
    <row r="25" spans="1:4" x14ac:dyDescent="0.3">
      <c r="A25">
        <v>0.5</v>
      </c>
      <c r="B25">
        <f>B24+0.5</f>
        <v>1</v>
      </c>
      <c r="C25" s="22">
        <f>C24+0.5</f>
        <v>1</v>
      </c>
      <c r="D25">
        <f>D24+0.4</f>
        <v>0.8</v>
      </c>
    </row>
    <row r="26" spans="1:4" x14ac:dyDescent="0.3">
      <c r="A26">
        <v>0.75</v>
      </c>
      <c r="B26">
        <f t="shared" ref="B26:C39" si="0">B25+0.5</f>
        <v>1.5</v>
      </c>
      <c r="C26" s="22">
        <f t="shared" si="0"/>
        <v>1.5</v>
      </c>
      <c r="D26">
        <f t="shared" ref="D26:D39" si="1">D25+0.4</f>
        <v>1.2000000000000002</v>
      </c>
    </row>
    <row r="27" spans="1:4" x14ac:dyDescent="0.3">
      <c r="A27">
        <v>1</v>
      </c>
      <c r="B27">
        <f t="shared" si="0"/>
        <v>2</v>
      </c>
      <c r="C27" s="22">
        <f t="shared" si="0"/>
        <v>2</v>
      </c>
      <c r="D27">
        <f t="shared" si="1"/>
        <v>1.6</v>
      </c>
    </row>
    <row r="28" spans="1:4" x14ac:dyDescent="0.3">
      <c r="A28">
        <v>1.25</v>
      </c>
      <c r="B28">
        <f t="shared" si="0"/>
        <v>2.5</v>
      </c>
      <c r="C28" s="22">
        <f t="shared" si="0"/>
        <v>2.5</v>
      </c>
      <c r="D28">
        <f t="shared" si="1"/>
        <v>2</v>
      </c>
    </row>
    <row r="29" spans="1:4" x14ac:dyDescent="0.3">
      <c r="A29">
        <v>1.5</v>
      </c>
      <c r="B29">
        <f t="shared" si="0"/>
        <v>3</v>
      </c>
      <c r="C29" s="22">
        <f t="shared" si="0"/>
        <v>3</v>
      </c>
      <c r="D29">
        <f t="shared" si="1"/>
        <v>2.4</v>
      </c>
    </row>
    <row r="30" spans="1:4" x14ac:dyDescent="0.3">
      <c r="A30">
        <v>1.75</v>
      </c>
      <c r="B30">
        <f t="shared" si="0"/>
        <v>3.5</v>
      </c>
      <c r="C30" s="22">
        <f t="shared" si="0"/>
        <v>3.5</v>
      </c>
      <c r="D30">
        <f t="shared" si="1"/>
        <v>2.8</v>
      </c>
    </row>
    <row r="31" spans="1:4" x14ac:dyDescent="0.3">
      <c r="A31">
        <v>2</v>
      </c>
      <c r="B31">
        <f t="shared" si="0"/>
        <v>4</v>
      </c>
      <c r="C31" s="22">
        <f t="shared" si="0"/>
        <v>4</v>
      </c>
      <c r="D31">
        <f t="shared" si="1"/>
        <v>3.1999999999999997</v>
      </c>
    </row>
    <row r="32" spans="1:4" x14ac:dyDescent="0.3">
      <c r="A32">
        <v>2.25</v>
      </c>
      <c r="B32">
        <f t="shared" si="0"/>
        <v>4.5</v>
      </c>
      <c r="C32" s="22">
        <f t="shared" si="0"/>
        <v>4.5</v>
      </c>
      <c r="D32">
        <f t="shared" si="1"/>
        <v>3.5999999999999996</v>
      </c>
    </row>
    <row r="33" spans="1:4" x14ac:dyDescent="0.3">
      <c r="A33">
        <v>2.5</v>
      </c>
      <c r="B33">
        <f t="shared" si="0"/>
        <v>5</v>
      </c>
      <c r="C33" s="22">
        <f t="shared" si="0"/>
        <v>5</v>
      </c>
      <c r="D33">
        <f t="shared" si="1"/>
        <v>3.9999999999999996</v>
      </c>
    </row>
    <row r="34" spans="1:4" x14ac:dyDescent="0.3">
      <c r="A34">
        <v>2.75</v>
      </c>
      <c r="B34">
        <f t="shared" si="0"/>
        <v>5.5</v>
      </c>
      <c r="C34" s="22">
        <f t="shared" si="0"/>
        <v>5.5</v>
      </c>
      <c r="D34">
        <f t="shared" si="1"/>
        <v>4.3999999999999995</v>
      </c>
    </row>
    <row r="35" spans="1:4" x14ac:dyDescent="0.3">
      <c r="A35">
        <v>3</v>
      </c>
      <c r="B35">
        <f t="shared" si="0"/>
        <v>6</v>
      </c>
      <c r="C35" s="22">
        <f t="shared" si="0"/>
        <v>6</v>
      </c>
      <c r="D35">
        <f t="shared" si="1"/>
        <v>4.8</v>
      </c>
    </row>
    <row r="36" spans="1:4" x14ac:dyDescent="0.3">
      <c r="A36">
        <v>3.25</v>
      </c>
      <c r="B36">
        <f t="shared" si="0"/>
        <v>6.5</v>
      </c>
      <c r="C36" s="22">
        <f t="shared" si="0"/>
        <v>6.5</v>
      </c>
      <c r="D36">
        <f t="shared" si="1"/>
        <v>5.2</v>
      </c>
    </row>
    <row r="37" spans="1:4" x14ac:dyDescent="0.3">
      <c r="A37">
        <v>3.5</v>
      </c>
      <c r="B37">
        <f t="shared" si="0"/>
        <v>7</v>
      </c>
      <c r="C37" s="22">
        <f t="shared" si="0"/>
        <v>7</v>
      </c>
      <c r="D37">
        <f t="shared" si="1"/>
        <v>5.6000000000000005</v>
      </c>
    </row>
    <row r="38" spans="1:4" x14ac:dyDescent="0.3">
      <c r="A38">
        <v>3.75</v>
      </c>
      <c r="B38">
        <f t="shared" si="0"/>
        <v>7.5</v>
      </c>
      <c r="C38" s="22">
        <f t="shared" si="0"/>
        <v>7.5</v>
      </c>
      <c r="D38">
        <f t="shared" si="1"/>
        <v>6.0000000000000009</v>
      </c>
    </row>
    <row r="39" spans="1:4" x14ac:dyDescent="0.3">
      <c r="A39">
        <v>4</v>
      </c>
      <c r="B39">
        <f t="shared" si="0"/>
        <v>8</v>
      </c>
      <c r="C39" s="22">
        <f t="shared" si="0"/>
        <v>8</v>
      </c>
      <c r="D39">
        <f t="shared" si="1"/>
        <v>6.4000000000000012</v>
      </c>
    </row>
    <row r="41" spans="1:4" x14ac:dyDescent="0.3">
      <c r="A41" s="52" t="s">
        <v>205</v>
      </c>
      <c r="B41" s="52"/>
      <c r="C41" s="52"/>
      <c r="D41" s="52"/>
    </row>
    <row r="42" spans="1:4" x14ac:dyDescent="0.3">
      <c r="A42" s="52"/>
      <c r="B42" s="52"/>
      <c r="C42" s="52"/>
      <c r="D42" s="52"/>
    </row>
    <row r="43" spans="1:4" x14ac:dyDescent="0.3">
      <c r="A43" s="52"/>
      <c r="B43" s="52"/>
      <c r="C43" s="52"/>
      <c r="D43" s="52"/>
    </row>
    <row r="44" spans="1:4" x14ac:dyDescent="0.3">
      <c r="A44" s="52"/>
      <c r="B44" s="52"/>
      <c r="C44" s="52"/>
      <c r="D44" s="52"/>
    </row>
    <row r="45" spans="1:4" x14ac:dyDescent="0.3">
      <c r="A45" s="52"/>
      <c r="B45" s="52"/>
      <c r="C45" s="52"/>
      <c r="D45" s="52"/>
    </row>
    <row r="46" spans="1:4" x14ac:dyDescent="0.3">
      <c r="A46" s="52"/>
      <c r="B46" s="52"/>
      <c r="C46" s="52"/>
      <c r="D46" s="52"/>
    </row>
    <row r="47" spans="1:4" x14ac:dyDescent="0.3">
      <c r="A47" s="52"/>
      <c r="B47" s="52"/>
      <c r="C47" s="52"/>
      <c r="D47" s="52"/>
    </row>
  </sheetData>
  <mergeCells count="1">
    <mergeCell ref="A41:D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E7C2C-6FE1-4F13-B21D-9999835E03F7}">
  <dimension ref="A1:F12"/>
  <sheetViews>
    <sheetView workbookViewId="0">
      <pane ySplit="1" topLeftCell="A9" activePane="bottomLeft" state="frozen"/>
      <selection pane="bottomLeft" activeCell="G10" sqref="G10"/>
    </sheetView>
  </sheetViews>
  <sheetFormatPr defaultRowHeight="14.4" x14ac:dyDescent="0.3"/>
  <cols>
    <col min="1" max="1" width="19.6640625" style="2" customWidth="1"/>
    <col min="2" max="2" width="19.5546875" style="2" customWidth="1"/>
    <col min="3" max="3" width="24.88671875" style="2" customWidth="1"/>
    <col min="4" max="4" width="32.88671875" style="2" customWidth="1"/>
    <col min="5" max="5" width="25.44140625" style="2" customWidth="1"/>
    <col min="6" max="6" width="26.6640625" customWidth="1"/>
  </cols>
  <sheetData>
    <row r="1" spans="1:6" ht="43.2" x14ac:dyDescent="0.3">
      <c r="A1" s="23" t="s">
        <v>206</v>
      </c>
      <c r="B1" s="23" t="s">
        <v>207</v>
      </c>
      <c r="C1" s="23" t="s">
        <v>208</v>
      </c>
      <c r="D1" s="23" t="s">
        <v>209</v>
      </c>
      <c r="E1" s="23" t="s">
        <v>210</v>
      </c>
      <c r="F1" s="2" t="s">
        <v>242</v>
      </c>
    </row>
    <row r="2" spans="1:6" ht="100.8" x14ac:dyDescent="0.3">
      <c r="A2" s="2" t="s">
        <v>211</v>
      </c>
      <c r="B2" s="2" t="s">
        <v>222</v>
      </c>
      <c r="C2" s="2" t="s">
        <v>224</v>
      </c>
      <c r="D2" s="2" t="s">
        <v>223</v>
      </c>
      <c r="E2" s="2" t="s">
        <v>213</v>
      </c>
    </row>
    <row r="3" spans="1:6" ht="43.2" x14ac:dyDescent="0.3">
      <c r="A3" s="2" t="s">
        <v>139</v>
      </c>
      <c r="B3" s="2" t="s">
        <v>217</v>
      </c>
      <c r="C3" s="2" t="s">
        <v>218</v>
      </c>
      <c r="D3" s="2" t="s">
        <v>219</v>
      </c>
      <c r="E3" s="2" t="s">
        <v>220</v>
      </c>
    </row>
    <row r="4" spans="1:6" ht="100.8" x14ac:dyDescent="0.3">
      <c r="A4" s="2" t="s">
        <v>214</v>
      </c>
      <c r="B4" s="2" t="s">
        <v>215</v>
      </c>
      <c r="C4" s="2" t="s">
        <v>225</v>
      </c>
      <c r="D4" s="2" t="s">
        <v>212</v>
      </c>
      <c r="E4" s="2" t="s">
        <v>216</v>
      </c>
    </row>
    <row r="5" spans="1:6" ht="28.8" x14ac:dyDescent="0.3">
      <c r="A5" s="2" t="s">
        <v>221</v>
      </c>
      <c r="B5" s="2" t="s">
        <v>215</v>
      </c>
      <c r="C5" s="2" t="s">
        <v>240</v>
      </c>
    </row>
    <row r="6" spans="1:6" ht="100.8" x14ac:dyDescent="0.3">
      <c r="A6" s="2" t="s">
        <v>226</v>
      </c>
      <c r="B6" s="2" t="s">
        <v>83</v>
      </c>
      <c r="C6" s="2" t="s">
        <v>227</v>
      </c>
    </row>
    <row r="7" spans="1:6" x14ac:dyDescent="0.3">
      <c r="A7" s="2" t="s">
        <v>228</v>
      </c>
      <c r="B7" s="2" t="s">
        <v>215</v>
      </c>
    </row>
    <row r="8" spans="1:6" ht="86.4" x14ac:dyDescent="0.3">
      <c r="A8" s="2" t="s">
        <v>229</v>
      </c>
      <c r="B8" s="2" t="s">
        <v>83</v>
      </c>
      <c r="C8" s="2" t="s">
        <v>230</v>
      </c>
      <c r="D8" s="2" t="s">
        <v>231</v>
      </c>
      <c r="E8" s="2" t="s">
        <v>232</v>
      </c>
    </row>
    <row r="9" spans="1:6" ht="86.4" x14ac:dyDescent="0.3">
      <c r="A9" s="2" t="s">
        <v>233</v>
      </c>
      <c r="B9" s="2" t="s">
        <v>83</v>
      </c>
      <c r="C9" s="2" t="s">
        <v>234</v>
      </c>
      <c r="D9" s="2" t="s">
        <v>235</v>
      </c>
      <c r="E9" s="2" t="s">
        <v>236</v>
      </c>
    </row>
    <row r="10" spans="1:6" ht="43.2" x14ac:dyDescent="0.3">
      <c r="A10" s="2" t="s">
        <v>237</v>
      </c>
      <c r="B10" s="2" t="s">
        <v>215</v>
      </c>
      <c r="D10" s="2" t="s">
        <v>238</v>
      </c>
      <c r="E10" s="2" t="s">
        <v>239</v>
      </c>
    </row>
    <row r="11" spans="1:6" ht="115.2" x14ac:dyDescent="0.3">
      <c r="A11" s="2" t="s">
        <v>241</v>
      </c>
      <c r="B11" s="2" t="s">
        <v>215</v>
      </c>
      <c r="C11" s="2" t="s">
        <v>243</v>
      </c>
      <c r="D11" s="2" t="s">
        <v>246</v>
      </c>
      <c r="E11" s="2" t="s">
        <v>244</v>
      </c>
      <c r="F11" s="2" t="s">
        <v>245</v>
      </c>
    </row>
    <row r="12" spans="1:6" ht="100.8" x14ac:dyDescent="0.3">
      <c r="A12" s="2" t="s">
        <v>248</v>
      </c>
      <c r="B12" s="2" t="s">
        <v>249</v>
      </c>
      <c r="C12" s="2" t="s">
        <v>247</v>
      </c>
      <c r="D12" s="2" t="s">
        <v>250</v>
      </c>
      <c r="E12" s="2" t="s">
        <v>251</v>
      </c>
      <c r="F12" s="2" t="s">
        <v>252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3FB6E-F831-41E6-8A81-1EC12E64CF0C}">
  <dimension ref="A1:G6"/>
  <sheetViews>
    <sheetView workbookViewId="0">
      <selection activeCell="A10" sqref="A10"/>
    </sheetView>
  </sheetViews>
  <sheetFormatPr defaultRowHeight="14.4" x14ac:dyDescent="0.3"/>
  <cols>
    <col min="1" max="1" width="36" style="2" customWidth="1"/>
    <col min="2" max="2" width="44.5546875" style="2" customWidth="1"/>
    <col min="3" max="3" width="35.44140625" style="2" customWidth="1"/>
    <col min="4" max="7" width="8.88671875" style="2"/>
  </cols>
  <sheetData>
    <row r="1" spans="1:3" x14ac:dyDescent="0.3">
      <c r="A1" s="2" t="s">
        <v>253</v>
      </c>
      <c r="B1" s="2" t="s">
        <v>254</v>
      </c>
      <c r="C1" s="2" t="s">
        <v>258</v>
      </c>
    </row>
    <row r="2" spans="1:3" ht="28.8" x14ac:dyDescent="0.3">
      <c r="A2" s="2" t="s">
        <v>256</v>
      </c>
      <c r="B2" s="2" t="s">
        <v>255</v>
      </c>
      <c r="C2" s="2" t="s">
        <v>259</v>
      </c>
    </row>
    <row r="3" spans="1:3" x14ac:dyDescent="0.3">
      <c r="A3" s="2" t="s">
        <v>257</v>
      </c>
      <c r="C3" s="2" t="s">
        <v>260</v>
      </c>
    </row>
    <row r="4" spans="1:3" x14ac:dyDescent="0.3">
      <c r="A4" s="2" t="s">
        <v>262</v>
      </c>
      <c r="B4" s="2" t="s">
        <v>266</v>
      </c>
      <c r="C4" s="2" t="s">
        <v>261</v>
      </c>
    </row>
    <row r="5" spans="1:3" ht="28.8" x14ac:dyDescent="0.3">
      <c r="A5" s="2" t="s">
        <v>264</v>
      </c>
      <c r="B5" s="2" t="s">
        <v>265</v>
      </c>
      <c r="C5" s="2" t="s">
        <v>263</v>
      </c>
    </row>
    <row r="6" spans="1:3" x14ac:dyDescent="0.3">
      <c r="A6" s="2" t="s">
        <v>268</v>
      </c>
      <c r="B6" s="2" t="s">
        <v>267</v>
      </c>
      <c r="C6" s="2" t="s">
        <v>263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Planter Layout</vt:lpstr>
      <vt:lpstr>Seed Inventory</vt:lpstr>
      <vt:lpstr>Calendar</vt:lpstr>
      <vt:lpstr>Garden Layout</vt:lpstr>
      <vt:lpstr>Planting Schedule</vt:lpstr>
      <vt:lpstr>Food Prep Schedule</vt:lpstr>
      <vt:lpstr>Fermentation</vt:lpstr>
      <vt:lpstr>Planting and Harvesting</vt:lpstr>
      <vt:lpstr>Pest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xavier</dc:creator>
  <cp:lastModifiedBy>Kyle Neuman</cp:lastModifiedBy>
  <cp:lastPrinted>2025-05-07T18:43:35Z</cp:lastPrinted>
  <dcterms:created xsi:type="dcterms:W3CDTF">2023-01-24T00:26:50Z</dcterms:created>
  <dcterms:modified xsi:type="dcterms:W3CDTF">2026-02-21T15:09:19Z</dcterms:modified>
</cp:coreProperties>
</file>